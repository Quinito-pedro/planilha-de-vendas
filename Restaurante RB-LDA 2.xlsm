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iskLocal\Documents\PROJECTOS\"/>
    </mc:Choice>
  </mc:AlternateContent>
  <bookViews>
    <workbookView xWindow="0" yWindow="0" windowWidth="20490" windowHeight="8340" tabRatio="685" firstSheet="2" activeTab="4"/>
  </bookViews>
  <sheets>
    <sheet name="Entrada de Produtos" sheetId="2" r:id="rId1"/>
    <sheet name="Saidas de Produtos" sheetId="3" r:id="rId2"/>
    <sheet name="Vendas" sheetId="1" r:id="rId3"/>
    <sheet name="Estoque" sheetId="6" r:id="rId4"/>
    <sheet name="Relatorio Final" sheetId="7" r:id="rId5"/>
    <sheet name="Gastos" sheetId="8" r:id="rId6"/>
  </sheets>
  <calcPr calcId="152511" calcMode="autoNoTable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8" l="1"/>
  <c r="I13" i="8"/>
  <c r="I14" i="8"/>
  <c r="I15" i="8"/>
  <c r="I17" i="8" l="1"/>
  <c r="G12" i="7" s="1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13" i="6"/>
  <c r="D15" i="1" l="1"/>
  <c r="G38" i="2" l="1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13" i="2"/>
  <c r="G14" i="2"/>
  <c r="G15" i="2"/>
  <c r="G16" i="2"/>
  <c r="G17" i="2"/>
  <c r="G18" i="2"/>
  <c r="G19" i="2"/>
  <c r="G12" i="2"/>
  <c r="H18" i="6" l="1"/>
  <c r="H26" i="6"/>
  <c r="H19" i="6"/>
  <c r="H24" i="6"/>
  <c r="H21" i="6"/>
  <c r="H25" i="6"/>
  <c r="H14" i="6"/>
  <c r="H15" i="6"/>
  <c r="H16" i="6"/>
  <c r="H17" i="6"/>
  <c r="H20" i="6"/>
  <c r="H22" i="6"/>
  <c r="H23" i="6"/>
  <c r="H27" i="6"/>
  <c r="H28" i="6"/>
  <c r="H29" i="6"/>
  <c r="H30" i="6"/>
  <c r="H31" i="6"/>
  <c r="H32" i="6"/>
  <c r="H33" i="6"/>
  <c r="H34" i="6"/>
  <c r="H35" i="6"/>
  <c r="H36" i="6"/>
  <c r="H37" i="6"/>
  <c r="H13" i="6"/>
  <c r="F12" i="1" l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N23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2" i="1"/>
  <c r="N21" i="1"/>
  <c r="N20" i="1"/>
  <c r="N19" i="1"/>
  <c r="N18" i="1"/>
  <c r="N17" i="1"/>
  <c r="N16" i="1"/>
  <c r="N15" i="1"/>
  <c r="N14" i="1"/>
  <c r="N13" i="1"/>
  <c r="N12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0" i="1"/>
  <c r="H22" i="1"/>
  <c r="H21" i="1"/>
  <c r="H19" i="1"/>
  <c r="H18" i="1"/>
  <c r="H17" i="1"/>
  <c r="H16" i="1"/>
  <c r="H15" i="1"/>
  <c r="H14" i="1"/>
  <c r="H13" i="1"/>
  <c r="H12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4" i="1"/>
  <c r="D13" i="1"/>
  <c r="D12" i="1"/>
  <c r="P37" i="1" l="1"/>
  <c r="R32" i="1"/>
  <c r="R36" i="1"/>
  <c r="R15" i="1"/>
  <c r="R31" i="1"/>
  <c r="R35" i="1"/>
  <c r="F37" i="1"/>
  <c r="R14" i="1"/>
  <c r="R18" i="1"/>
  <c r="R26" i="1"/>
  <c r="R13" i="1"/>
  <c r="R17" i="1"/>
  <c r="R21" i="1"/>
  <c r="R25" i="1"/>
  <c r="N37" i="1"/>
  <c r="R29" i="1"/>
  <c r="R33" i="1"/>
  <c r="L37" i="1"/>
  <c r="D37" i="1"/>
  <c r="R16" i="1"/>
  <c r="R20" i="1"/>
  <c r="R24" i="1"/>
  <c r="R28" i="1"/>
  <c r="R22" i="1"/>
  <c r="R30" i="1"/>
  <c r="R34" i="1"/>
  <c r="H37" i="1"/>
  <c r="R19" i="1"/>
  <c r="R23" i="1"/>
  <c r="R27" i="1"/>
  <c r="J37" i="1"/>
  <c r="R12" i="1"/>
  <c r="F12" i="7" l="1"/>
  <c r="H12" i="7" s="1"/>
  <c r="R37" i="1"/>
</calcChain>
</file>

<file path=xl/sharedStrings.xml><?xml version="1.0" encoding="utf-8"?>
<sst xmlns="http://schemas.openxmlformats.org/spreadsheetml/2006/main" count="240" uniqueCount="101">
  <si>
    <t>Restaorante Bar RB-LDA</t>
  </si>
  <si>
    <t>Planilha de Vendas de Produtos do RB-LDA</t>
  </si>
  <si>
    <t>Produtos</t>
  </si>
  <si>
    <t>Segunda Feira</t>
  </si>
  <si>
    <t>Total do dia</t>
  </si>
  <si>
    <t>Terça Feira</t>
  </si>
  <si>
    <t>Quarta Feira</t>
  </si>
  <si>
    <t>Total do Dia</t>
  </si>
  <si>
    <t>Quinta Feira</t>
  </si>
  <si>
    <t xml:space="preserve"> </t>
  </si>
  <si>
    <t>Sexta Feira</t>
  </si>
  <si>
    <t>Sabado</t>
  </si>
  <si>
    <t>Domingo</t>
  </si>
  <si>
    <t>2M Lata</t>
  </si>
  <si>
    <t>2M Grande</t>
  </si>
  <si>
    <t>Laurentina P.</t>
  </si>
  <si>
    <t>Laurentina L.</t>
  </si>
  <si>
    <t>Laurentina G.</t>
  </si>
  <si>
    <t>Manica G.</t>
  </si>
  <si>
    <t>Manica L.</t>
  </si>
  <si>
    <t>Savana</t>
  </si>
  <si>
    <t>Hundas Gd</t>
  </si>
  <si>
    <t>Txilar</t>
  </si>
  <si>
    <t>HuverLuker</t>
  </si>
  <si>
    <t>HunkeBunster</t>
  </si>
  <si>
    <t>Goordon</t>
  </si>
  <si>
    <t>Roal Wesk</t>
  </si>
  <si>
    <t>Jemison</t>
  </si>
  <si>
    <t>Amarula</t>
  </si>
  <si>
    <t>Minute</t>
  </si>
  <si>
    <t>Compal</t>
  </si>
  <si>
    <t>Ceres P.</t>
  </si>
  <si>
    <t>Ceres G.</t>
  </si>
  <si>
    <t>Refresco P.</t>
  </si>
  <si>
    <t>Refresco L.</t>
  </si>
  <si>
    <t>Rferesco 2L</t>
  </si>
  <si>
    <t>Refresco 1L</t>
  </si>
  <si>
    <t>HuverLuker P.</t>
  </si>
  <si>
    <t>Data___/___/____</t>
  </si>
  <si>
    <t>Ficha de Entrada de Produtos FEP RB-LDA</t>
  </si>
  <si>
    <t>Produtos em Quantidade</t>
  </si>
  <si>
    <t>Produtoas</t>
  </si>
  <si>
    <t>Quantos Favos</t>
  </si>
  <si>
    <t>Q. Caixas</t>
  </si>
  <si>
    <t>Observacao</t>
  </si>
  <si>
    <t>Data da compra dos Produtos e Assinatura</t>
  </si>
  <si>
    <t>DD/MM/AA</t>
  </si>
  <si>
    <t>___/___/___</t>
  </si>
  <si>
    <t xml:space="preserve">Manica </t>
  </si>
  <si>
    <t>2M</t>
  </si>
  <si>
    <t>Laurentina</t>
  </si>
  <si>
    <t>TOTAL GASTO</t>
  </si>
  <si>
    <t>Agua</t>
  </si>
  <si>
    <t>Nome Completo</t>
  </si>
  <si>
    <t>Quantidade</t>
  </si>
  <si>
    <t>Restaorante Bar RB-LD</t>
  </si>
  <si>
    <t>MZN</t>
  </si>
  <si>
    <t>Data</t>
  </si>
  <si>
    <t>Ficha de Saidas de Produtos FSP-RB-LDA</t>
  </si>
  <si>
    <t>Preço Unitário</t>
  </si>
  <si>
    <t>Estoque Disponivel</t>
  </si>
  <si>
    <t>Total Arrecadado</t>
  </si>
  <si>
    <t>Estoque Inicial</t>
  </si>
  <si>
    <t>Quantidade Venda</t>
  </si>
  <si>
    <t>HuverLuker G.</t>
  </si>
  <si>
    <t>Esta Planilha Viza Actualizar o Estoque que esta no Armazem e o Estoque que esta em Uso</t>
  </si>
  <si>
    <t xml:space="preserve">PRODUTOS EM DESTAQUE </t>
  </si>
  <si>
    <t>Energia</t>
  </si>
  <si>
    <t>Copos</t>
  </si>
  <si>
    <t>Outros</t>
  </si>
  <si>
    <t>Data___/___/___</t>
  </si>
  <si>
    <t>Valor da compra</t>
  </si>
  <si>
    <t>G_A_S_T_O_S_ I_N_T_E_R_N_O_S</t>
  </si>
  <si>
    <t xml:space="preserve">Valor </t>
  </si>
  <si>
    <t>Total Gasto</t>
  </si>
  <si>
    <t>Valor Disponivel</t>
  </si>
  <si>
    <t>TOTAL</t>
  </si>
  <si>
    <t xml:space="preserve">TOTAL </t>
  </si>
  <si>
    <t>Água</t>
  </si>
  <si>
    <t>Guardanapos</t>
  </si>
  <si>
    <t>Descrição</t>
  </si>
  <si>
    <t>Observação</t>
  </si>
  <si>
    <t>Restaurante Bar RB-LD</t>
  </si>
  <si>
    <t>RESTAURANTE BAR RB-LDA</t>
  </si>
  <si>
    <t>Relatório Final</t>
  </si>
  <si>
    <t>RESTAURANTE BAR - LDA</t>
  </si>
  <si>
    <t>Ficha de Control de Estoque RB-LDA</t>
  </si>
  <si>
    <t>&lt;&lt;&lt;&lt;&lt; R-S-T-A-U-R-A-N-T-E &lt;&lt;&lt;&lt;&lt;-----&gt;&gt;&gt;&gt;&gt;&gt; B-A-R&lt;&lt;&lt;&lt;---&gt;&gt;&gt;&gt;&gt;&gt;&gt;&gt;(RB)&lt;&lt;&lt;--L-D-A &gt;&gt;&gt;&gt;&gt;</t>
  </si>
  <si>
    <t>Restaurante Bar RB-LDA</t>
  </si>
  <si>
    <t>TOTAL POR DIA.</t>
  </si>
  <si>
    <t>Comentário</t>
  </si>
  <si>
    <t>Valor por Levantamento</t>
  </si>
  <si>
    <t>Manica L</t>
  </si>
  <si>
    <t>Laurentina L</t>
  </si>
  <si>
    <t>Laurebtina Shot</t>
  </si>
  <si>
    <t>Ceres G</t>
  </si>
  <si>
    <t>Refresco 2L</t>
  </si>
  <si>
    <t>Refresco Garaf</t>
  </si>
  <si>
    <t>Refresco Lat</t>
  </si>
  <si>
    <t>2M L</t>
  </si>
  <si>
    <t>Valor Gasto n Levantamento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</si>
</sst>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72"/>
      <color theme="2"/>
      <name val="Arial"/>
      <family val="2"/>
    </font>
    <font>
      <sz val="16"/>
      <color theme="0"/>
      <name val="Calibri"/>
      <family val="2"/>
      <scheme val="minor"/>
    </font>
    <font>
      <sz val="12"/>
      <color theme="1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12"/>
      <name val="Arial"/>
      <family val="2"/>
    </font>
    <font>
      <sz val="14"/>
      <color rgb="FFFF0000"/>
      <name val="Arial"/>
      <family val="2"/>
    </font>
    <font>
      <sz val="12"/>
      <color theme="0" tint="-0.49998474074526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i/>
      <sz val="50"/>
      <color theme="1"/>
      <name val="Arial"/>
      <family val="2"/>
    </font>
    <font>
      <sz val="12"/>
      <color rgb="FFFFFFFF"/>
      <name val="Arial"/>
      <family val="2"/>
    </font>
    <font>
      <i/>
      <sz val="48"/>
      <color theme="1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Arial"/>
      <family val="2"/>
    </font>
    <font>
      <i/>
      <sz val="36"/>
      <color theme="0"/>
      <name val="Times New Roman"/>
      <family val="1"/>
    </font>
    <font>
      <sz val="26"/>
      <color theme="0"/>
      <name val="Times New Roman"/>
      <family val="1"/>
    </font>
    <font>
      <sz val="12"/>
      <color theme="7"/>
      <name val="Arial"/>
      <family val="2"/>
    </font>
    <font>
      <sz val="12"/>
      <color theme="5" tint="-0.249977111117893"/>
      <name val="Times New Roman"/>
      <family val="1"/>
    </font>
    <font>
      <sz val="12"/>
      <color theme="1"/>
      <name val="Times New Roman"/>
      <family val="1"/>
    </font>
    <font>
      <i/>
      <sz val="36"/>
      <color theme="1"/>
      <name val="Arial"/>
      <family val="2"/>
    </font>
    <font>
      <sz val="11"/>
      <name val="Calibri"/>
      <family val="2"/>
      <scheme val="minor"/>
    </font>
    <font>
      <sz val="16"/>
      <color theme="0"/>
      <name val="Times New Roman"/>
      <family val="1"/>
    </font>
    <font>
      <sz val="12"/>
      <color theme="1" tint="4.9989318521683403E-2"/>
      <name val="Arial"/>
      <family val="2"/>
    </font>
    <font>
      <sz val="11"/>
      <color theme="0"/>
      <name val="Arial"/>
      <family val="2"/>
    </font>
    <font>
      <i/>
      <sz val="72"/>
      <color theme="4"/>
      <name val="Arial"/>
      <family val="2"/>
    </font>
    <font>
      <sz val="16"/>
      <color theme="1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3C47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5" fillId="0" borderId="0" applyFont="0" applyFill="0" applyBorder="0" applyAlignment="0" applyProtection="0"/>
  </cellStyleXfs>
  <cellXfs count="158">
    <xf numFmtId="0" fontId="0" fillId="0" borderId="0" xfId="0"/>
    <xf numFmtId="0" fontId="0" fillId="2" borderId="1" xfId="0" applyFill="1" applyBorder="1"/>
    <xf numFmtId="0" fontId="0" fillId="10" borderId="1" xfId="0" applyFill="1" applyBorder="1"/>
    <xf numFmtId="0" fontId="7" fillId="14" borderId="1" xfId="0" applyFont="1" applyFill="1" applyBorder="1"/>
    <xf numFmtId="0" fontId="8" fillId="19" borderId="1" xfId="0" applyFont="1" applyFill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6" fillId="14" borderId="1" xfId="0" applyFont="1" applyFill="1" applyBorder="1" applyAlignment="1">
      <alignment horizontal="center"/>
    </xf>
    <xf numFmtId="0" fontId="8" fillId="19" borderId="6" xfId="0" applyFont="1" applyFill="1" applyBorder="1" applyAlignment="1">
      <alignment horizontal="center"/>
    </xf>
    <xf numFmtId="0" fontId="5" fillId="8" borderId="7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0" fillId="0" borderId="1" xfId="0" applyBorder="1" applyAlignment="1">
      <alignment vertical="center" wrapText="1"/>
    </xf>
    <xf numFmtId="0" fontId="6" fillId="13" borderId="1" xfId="0" applyFont="1" applyFill="1" applyBorder="1" applyAlignment="1">
      <alignment horizontal="left" vertical="center" indent="1"/>
    </xf>
    <xf numFmtId="0" fontId="1" fillId="13" borderId="1" xfId="0" applyFont="1" applyFill="1" applyBorder="1" applyAlignment="1">
      <alignment horizontal="left" vertical="center" indent="2"/>
    </xf>
    <xf numFmtId="0" fontId="0" fillId="21" borderId="1" xfId="0" applyFill="1" applyBorder="1"/>
    <xf numFmtId="0" fontId="5" fillId="0" borderId="0" xfId="0" applyFont="1"/>
    <xf numFmtId="0" fontId="7" fillId="5" borderId="1" xfId="0" applyFont="1" applyFill="1" applyBorder="1"/>
    <xf numFmtId="0" fontId="0" fillId="0" borderId="8" xfId="0" applyBorder="1" applyAlignment="1"/>
    <xf numFmtId="0" fontId="0" fillId="0" borderId="0" xfId="0" applyAlignment="1">
      <alignment vertical="center" wrapText="1"/>
    </xf>
    <xf numFmtId="0" fontId="5" fillId="10" borderId="1" xfId="0" applyFont="1" applyFill="1" applyBorder="1" applyAlignment="1" applyProtection="1">
      <alignment horizontal="center"/>
      <protection locked="0"/>
    </xf>
    <xf numFmtId="0" fontId="5" fillId="10" borderId="9" xfId="0" applyFont="1" applyFill="1" applyBorder="1" applyAlignment="1" applyProtection="1">
      <alignment horizontal="center"/>
      <protection locked="0"/>
    </xf>
    <xf numFmtId="0" fontId="6" fillId="28" borderId="1" xfId="0" applyFont="1" applyFill="1" applyBorder="1" applyAlignment="1">
      <alignment horizontal="left" vertical="center"/>
    </xf>
    <xf numFmtId="0" fontId="8" fillId="27" borderId="1" xfId="0" applyFont="1" applyFill="1" applyBorder="1" applyProtection="1">
      <protection locked="0"/>
    </xf>
    <xf numFmtId="0" fontId="5" fillId="10" borderId="1" xfId="0" applyFont="1" applyFill="1" applyBorder="1" applyAlignment="1" applyProtection="1">
      <alignment horizontal="left" indent="1"/>
      <protection locked="0"/>
    </xf>
    <xf numFmtId="0" fontId="0" fillId="0" borderId="0" xfId="0" applyBorder="1" applyAlignment="1"/>
    <xf numFmtId="0" fontId="5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0" fillId="20" borderId="6" xfId="0" applyFill="1" applyBorder="1" applyAlignment="1">
      <alignment horizontal="center"/>
    </xf>
    <xf numFmtId="0" fontId="0" fillId="20" borderId="10" xfId="0" applyFill="1" applyBorder="1" applyAlignment="1">
      <alignment horizontal="center"/>
    </xf>
    <xf numFmtId="0" fontId="0" fillId="20" borderId="7" xfId="0" applyFill="1" applyBorder="1" applyAlignment="1">
      <alignment horizontal="center"/>
    </xf>
    <xf numFmtId="0" fontId="5" fillId="15" borderId="1" xfId="0" applyFont="1" applyFill="1" applyBorder="1" applyAlignment="1">
      <alignment horizontal="center"/>
    </xf>
    <xf numFmtId="0" fontId="0" fillId="32" borderId="1" xfId="0" applyFill="1" applyBorder="1"/>
    <xf numFmtId="0" fontId="1" fillId="35" borderId="1" xfId="0" applyFont="1" applyFill="1" applyBorder="1"/>
    <xf numFmtId="0" fontId="8" fillId="22" borderId="1" xfId="0" applyFont="1" applyFill="1" applyBorder="1" applyAlignment="1" applyProtection="1">
      <protection locked="0"/>
    </xf>
    <xf numFmtId="0" fontId="8" fillId="22" borderId="1" xfId="0" applyFont="1" applyFill="1" applyBorder="1" applyAlignment="1"/>
    <xf numFmtId="0" fontId="8" fillId="22" borderId="1" xfId="0" applyFont="1" applyFill="1" applyBorder="1" applyProtection="1">
      <protection locked="0"/>
    </xf>
    <xf numFmtId="0" fontId="5" fillId="21" borderId="1" xfId="0" applyFont="1" applyFill="1" applyBorder="1"/>
    <xf numFmtId="0" fontId="6" fillId="13" borderId="1" xfId="0" applyFont="1" applyFill="1" applyBorder="1" applyAlignment="1">
      <alignment horizontal="left" vertical="center"/>
    </xf>
    <xf numFmtId="0" fontId="6" fillId="13" borderId="6" xfId="0" applyFont="1" applyFill="1" applyBorder="1" applyAlignment="1">
      <alignment horizontal="left" vertical="center" indent="1"/>
    </xf>
    <xf numFmtId="0" fontId="6" fillId="19" borderId="0" xfId="0" applyFont="1" applyFill="1" applyBorder="1" applyAlignment="1">
      <alignment horizontal="center" vertical="center"/>
    </xf>
    <xf numFmtId="0" fontId="23" fillId="19" borderId="1" xfId="0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0" fontId="8" fillId="19" borderId="9" xfId="0" applyFont="1" applyFill="1" applyBorder="1" applyAlignment="1">
      <alignment horizontal="center" vertical="center"/>
    </xf>
    <xf numFmtId="0" fontId="8" fillId="19" borderId="2" xfId="0" applyFont="1" applyFill="1" applyBorder="1" applyAlignment="1">
      <alignment horizontal="center" vertical="center"/>
    </xf>
    <xf numFmtId="0" fontId="8" fillId="19" borderId="6" xfId="0" applyFont="1" applyFill="1" applyBorder="1" applyAlignment="1">
      <alignment horizontal="center" vertical="center"/>
    </xf>
    <xf numFmtId="0" fontId="0" fillId="33" borderId="6" xfId="0" applyFill="1" applyBorder="1"/>
    <xf numFmtId="0" fontId="0" fillId="37" borderId="1" xfId="0" applyFill="1" applyBorder="1"/>
    <xf numFmtId="0" fontId="0" fillId="37" borderId="9" xfId="0" applyFill="1" applyBorder="1"/>
    <xf numFmtId="0" fontId="6" fillId="40" borderId="1" xfId="0" applyFont="1" applyFill="1" applyBorder="1"/>
    <xf numFmtId="0" fontId="8" fillId="19" borderId="1" xfId="0" applyFont="1" applyFill="1" applyBorder="1"/>
    <xf numFmtId="0" fontId="8" fillId="7" borderId="18" xfId="0" applyFont="1" applyFill="1" applyBorder="1" applyAlignment="1"/>
    <xf numFmtId="0" fontId="5" fillId="0" borderId="9" xfId="0" applyFont="1" applyBorder="1" applyAlignment="1">
      <alignment vertical="center" wrapText="1"/>
    </xf>
    <xf numFmtId="0" fontId="5" fillId="31" borderId="2" xfId="0" applyFont="1" applyFill="1" applyBorder="1" applyAlignment="1">
      <alignment vertical="center"/>
    </xf>
    <xf numFmtId="0" fontId="5" fillId="31" borderId="8" xfId="0" applyFont="1" applyFill="1" applyBorder="1" applyAlignment="1">
      <alignment vertical="center"/>
    </xf>
    <xf numFmtId="0" fontId="5" fillId="31" borderId="3" xfId="0" applyFont="1" applyFill="1" applyBorder="1" applyAlignment="1">
      <alignment vertical="center"/>
    </xf>
    <xf numFmtId="0" fontId="5" fillId="0" borderId="17" xfId="0" applyFont="1" applyBorder="1" applyAlignment="1">
      <alignment vertical="center" wrapText="1"/>
    </xf>
    <xf numFmtId="0" fontId="5" fillId="31" borderId="15" xfId="0" applyFont="1" applyFill="1" applyBorder="1" applyAlignment="1">
      <alignment vertical="center"/>
    </xf>
    <xf numFmtId="0" fontId="5" fillId="31" borderId="0" xfId="0" applyFont="1" applyFill="1" applyBorder="1" applyAlignment="1">
      <alignment vertical="center"/>
    </xf>
    <xf numFmtId="0" fontId="5" fillId="31" borderId="16" xfId="0" applyFont="1" applyFill="1" applyBorder="1" applyAlignment="1">
      <alignment vertical="center"/>
    </xf>
    <xf numFmtId="0" fontId="28" fillId="36" borderId="6" xfId="0" applyFont="1" applyFill="1" applyBorder="1" applyAlignment="1" applyProtection="1">
      <protection locked="0"/>
    </xf>
    <xf numFmtId="0" fontId="28" fillId="36" borderId="10" xfId="0" applyFont="1" applyFill="1" applyBorder="1" applyAlignment="1" applyProtection="1">
      <protection locked="0"/>
    </xf>
    <xf numFmtId="0" fontId="28" fillId="36" borderId="7" xfId="0" applyFont="1" applyFill="1" applyBorder="1" applyAlignment="1" applyProtection="1">
      <protection locked="0"/>
    </xf>
    <xf numFmtId="0" fontId="0" fillId="29" borderId="2" xfId="0" applyFill="1" applyBorder="1" applyAlignment="1"/>
    <xf numFmtId="0" fontId="0" fillId="29" borderId="3" xfId="0" applyFill="1" applyBorder="1" applyAlignment="1"/>
    <xf numFmtId="0" fontId="0" fillId="0" borderId="15" xfId="0" applyBorder="1" applyAlignment="1"/>
    <xf numFmtId="0" fontId="21" fillId="32" borderId="11" xfId="0" applyFont="1" applyFill="1" applyBorder="1" applyAlignment="1"/>
    <xf numFmtId="0" fontId="21" fillId="32" borderId="0" xfId="0" applyFont="1" applyFill="1" applyBorder="1" applyAlignment="1"/>
    <xf numFmtId="0" fontId="0" fillId="32" borderId="11" xfId="0" applyFill="1" applyBorder="1" applyAlignment="1"/>
    <xf numFmtId="0" fontId="0" fillId="20" borderId="6" xfId="0" applyFill="1" applyBorder="1" applyAlignment="1">
      <alignment horizontal="center"/>
    </xf>
    <xf numFmtId="0" fontId="0" fillId="20" borderId="10" xfId="0" applyFill="1" applyBorder="1" applyAlignment="1">
      <alignment horizontal="center"/>
    </xf>
    <xf numFmtId="0" fontId="0" fillId="20" borderId="7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6" fillId="9" borderId="8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1" fillId="38" borderId="8" xfId="0" applyFont="1" applyFill="1" applyBorder="1" applyAlignment="1">
      <alignment horizontal="center"/>
    </xf>
    <xf numFmtId="0" fontId="1" fillId="38" borderId="0" xfId="0" applyFont="1" applyFill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6" fillId="23" borderId="6" xfId="0" applyFont="1" applyFill="1" applyBorder="1" applyAlignment="1">
      <alignment horizontal="left"/>
    </xf>
    <xf numFmtId="0" fontId="6" fillId="23" borderId="10" xfId="0" applyFont="1" applyFill="1" applyBorder="1" applyAlignment="1">
      <alignment horizontal="left"/>
    </xf>
    <xf numFmtId="0" fontId="6" fillId="23" borderId="7" xfId="0" applyFont="1" applyFill="1" applyBorder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26" fillId="15" borderId="1" xfId="0" applyFont="1" applyFill="1" applyBorder="1" applyAlignment="1">
      <alignment horizontal="center" wrapText="1"/>
    </xf>
    <xf numFmtId="0" fontId="6" fillId="15" borderId="1" xfId="0" applyFont="1" applyFill="1" applyBorder="1" applyAlignment="1">
      <alignment horizontal="center" vertical="center" wrapText="1"/>
    </xf>
    <xf numFmtId="0" fontId="5" fillId="22" borderId="2" xfId="0" applyFont="1" applyFill="1" applyBorder="1" applyAlignment="1">
      <alignment horizontal="center" vertical="center" wrapText="1"/>
    </xf>
    <xf numFmtId="0" fontId="5" fillId="22" borderId="3" xfId="0" applyFont="1" applyFill="1" applyBorder="1" applyAlignment="1">
      <alignment horizontal="center" vertical="center" wrapText="1"/>
    </xf>
    <xf numFmtId="0" fontId="5" fillId="22" borderId="4" xfId="0" applyFont="1" applyFill="1" applyBorder="1" applyAlignment="1">
      <alignment horizontal="center" vertical="center" wrapText="1"/>
    </xf>
    <xf numFmtId="0" fontId="5" fillId="22" borderId="5" xfId="0" applyFont="1" applyFill="1" applyBorder="1" applyAlignment="1">
      <alignment horizontal="center" vertical="center" wrapText="1"/>
    </xf>
    <xf numFmtId="0" fontId="6" fillId="14" borderId="0" xfId="0" applyFont="1" applyFill="1" applyAlignment="1">
      <alignment horizontal="center"/>
    </xf>
    <xf numFmtId="0" fontId="6" fillId="22" borderId="11" xfId="0" applyFont="1" applyFill="1" applyBorder="1" applyAlignment="1">
      <alignment horizontal="center"/>
    </xf>
    <xf numFmtId="0" fontId="6" fillId="15" borderId="9" xfId="0" applyFont="1" applyFill="1" applyBorder="1" applyAlignment="1">
      <alignment horizontal="center" vertical="center" wrapText="1"/>
    </xf>
    <xf numFmtId="0" fontId="6" fillId="15" borderId="17" xfId="0" applyFont="1" applyFill="1" applyBorder="1" applyAlignment="1">
      <alignment horizontal="center" vertical="center" wrapText="1"/>
    </xf>
    <xf numFmtId="0" fontId="25" fillId="19" borderId="9" xfId="0" applyFont="1" applyFill="1" applyBorder="1" applyAlignment="1">
      <alignment horizontal="center" vertical="center" wrapText="1"/>
    </xf>
    <xf numFmtId="0" fontId="25" fillId="19" borderId="17" xfId="0" applyFont="1" applyFill="1" applyBorder="1" applyAlignment="1">
      <alignment horizontal="center" vertical="center" wrapText="1"/>
    </xf>
    <xf numFmtId="0" fontId="0" fillId="39" borderId="8" xfId="0" applyFill="1" applyBorder="1" applyAlignment="1">
      <alignment horizontal="center"/>
    </xf>
    <xf numFmtId="0" fontId="0" fillId="39" borderId="0" xfId="0" applyFill="1" applyBorder="1" applyAlignment="1">
      <alignment horizontal="center"/>
    </xf>
    <xf numFmtId="0" fontId="5" fillId="21" borderId="6" xfId="0" applyFont="1" applyFill="1" applyBorder="1" applyAlignment="1">
      <alignment horizontal="center"/>
    </xf>
    <xf numFmtId="0" fontId="5" fillId="21" borderId="7" xfId="0" applyFont="1" applyFill="1" applyBorder="1" applyAlignment="1">
      <alignment horizontal="center"/>
    </xf>
    <xf numFmtId="0" fontId="4" fillId="24" borderId="0" xfId="0" applyFont="1" applyFill="1" applyBorder="1" applyAlignment="1">
      <alignment horizontal="center"/>
    </xf>
    <xf numFmtId="0" fontId="0" fillId="27" borderId="1" xfId="0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12" fillId="11" borderId="12" xfId="0" applyFont="1" applyFill="1" applyBorder="1" applyAlignment="1">
      <alignment horizontal="center" vertical="center" wrapText="1"/>
    </xf>
    <xf numFmtId="0" fontId="12" fillId="11" borderId="0" xfId="0" applyFont="1" applyFill="1" applyBorder="1" applyAlignment="1">
      <alignment horizontal="center" vertical="center" wrapText="1"/>
    </xf>
    <xf numFmtId="0" fontId="6" fillId="9" borderId="6" xfId="0" applyFont="1" applyFill="1" applyBorder="1" applyAlignment="1">
      <alignment horizontal="center"/>
    </xf>
    <xf numFmtId="0" fontId="6" fillId="9" borderId="7" xfId="0" applyFont="1" applyFill="1" applyBorder="1" applyAlignment="1">
      <alignment horizontal="center"/>
    </xf>
    <xf numFmtId="0" fontId="6" fillId="16" borderId="6" xfId="0" applyFont="1" applyFill="1" applyBorder="1" applyAlignment="1">
      <alignment horizontal="center"/>
    </xf>
    <xf numFmtId="0" fontId="6" fillId="16" borderId="10" xfId="0" applyFont="1" applyFill="1" applyBorder="1" applyAlignment="1">
      <alignment horizontal="center"/>
    </xf>
    <xf numFmtId="0" fontId="6" fillId="14" borderId="7" xfId="0" applyFont="1" applyFill="1" applyBorder="1" applyAlignment="1">
      <alignment horizontal="center"/>
    </xf>
    <xf numFmtId="0" fontId="6" fillId="16" borderId="1" xfId="0" applyFont="1" applyFill="1" applyBorder="1" applyAlignment="1">
      <alignment horizontal="center"/>
    </xf>
    <xf numFmtId="0" fontId="3" fillId="3" borderId="0" xfId="0" applyFont="1" applyFill="1" applyAlignment="1" applyProtection="1">
      <alignment horizontal="center" vertical="center"/>
    </xf>
    <xf numFmtId="0" fontId="4" fillId="12" borderId="0" xfId="0" applyFont="1" applyFill="1" applyAlignment="1">
      <alignment horizontal="center"/>
    </xf>
    <xf numFmtId="0" fontId="2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9" fillId="14" borderId="0" xfId="0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horizontal="center" vertical="center" wrapText="1"/>
    </xf>
    <xf numFmtId="0" fontId="10" fillId="17" borderId="0" xfId="0" applyFont="1" applyFill="1" applyAlignment="1">
      <alignment horizontal="center"/>
    </xf>
    <xf numFmtId="0" fontId="5" fillId="15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wrapText="1"/>
    </xf>
    <xf numFmtId="0" fontId="6" fillId="6" borderId="8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vertical="center"/>
    </xf>
    <xf numFmtId="0" fontId="13" fillId="25" borderId="13" xfId="0" applyFont="1" applyFill="1" applyBorder="1" applyAlignment="1">
      <alignment horizontal="center" vertical="center" wrapText="1"/>
    </xf>
    <xf numFmtId="0" fontId="13" fillId="25" borderId="14" xfId="0" applyFont="1" applyFill="1" applyBorder="1" applyAlignment="1">
      <alignment horizontal="center" vertical="center" wrapText="1"/>
    </xf>
    <xf numFmtId="49" fontId="17" fillId="17" borderId="15" xfId="1" applyNumberFormat="1" applyFont="1" applyFill="1" applyBorder="1" applyAlignment="1">
      <alignment horizontal="center" vertical="center" textRotation="90" wrapText="1"/>
    </xf>
    <xf numFmtId="49" fontId="17" fillId="17" borderId="0" xfId="1" applyNumberFormat="1" applyFont="1" applyFill="1" applyAlignment="1">
      <alignment horizontal="center" vertical="center" textRotation="90" wrapText="1"/>
    </xf>
    <xf numFmtId="0" fontId="18" fillId="17" borderId="0" xfId="0" applyFont="1" applyFill="1" applyAlignment="1">
      <alignment horizontal="center" vertical="center" textRotation="180" wrapText="1"/>
    </xf>
    <xf numFmtId="0" fontId="18" fillId="17" borderId="16" xfId="0" applyFont="1" applyFill="1" applyBorder="1" applyAlignment="1">
      <alignment horizontal="center" vertical="center" textRotation="180" wrapText="1"/>
    </xf>
    <xf numFmtId="0" fontId="27" fillId="8" borderId="0" xfId="0" applyFont="1" applyFill="1" applyBorder="1" applyAlignment="1">
      <alignment horizontal="center" vertical="center" wrapText="1"/>
    </xf>
    <xf numFmtId="0" fontId="19" fillId="30" borderId="1" xfId="0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19" fillId="30" borderId="1" xfId="0" applyFont="1" applyFill="1" applyBorder="1" applyAlignment="1">
      <alignment horizontal="center" wrapText="1"/>
    </xf>
    <xf numFmtId="0" fontId="19" fillId="30" borderId="1" xfId="0" applyFont="1" applyFill="1" applyBorder="1" applyAlignment="1">
      <alignment horizontal="center" vertical="center" wrapText="1"/>
    </xf>
    <xf numFmtId="0" fontId="16" fillId="10" borderId="0" xfId="0" applyFont="1" applyFill="1" applyAlignment="1">
      <alignment horizontal="center"/>
    </xf>
    <xf numFmtId="0" fontId="20" fillId="21" borderId="0" xfId="0" applyFont="1" applyFill="1" applyAlignment="1">
      <alignment horizontal="center"/>
    </xf>
    <xf numFmtId="0" fontId="6" fillId="15" borderId="15" xfId="0" applyFont="1" applyFill="1" applyBorder="1" applyAlignment="1">
      <alignment horizontal="center" wrapText="1"/>
    </xf>
    <xf numFmtId="0" fontId="6" fillId="15" borderId="0" xfId="0" applyFont="1" applyFill="1" applyAlignment="1">
      <alignment horizontal="center" wrapText="1"/>
    </xf>
    <xf numFmtId="0" fontId="24" fillId="34" borderId="0" xfId="0" applyFont="1" applyFill="1" applyAlignment="1">
      <alignment horizontal="center"/>
    </xf>
    <xf numFmtId="0" fontId="0" fillId="33" borderId="1" xfId="0" applyFill="1" applyBorder="1" applyAlignment="1">
      <alignment horizontal="center" wrapText="1"/>
    </xf>
    <xf numFmtId="0" fontId="6" fillId="35" borderId="1" xfId="0" applyFont="1" applyFill="1" applyBorder="1" applyAlignment="1">
      <alignment horizontal="center" wrapText="1"/>
    </xf>
    <xf numFmtId="0" fontId="5" fillId="7" borderId="1" xfId="0" applyFont="1" applyFill="1" applyBorder="1" applyAlignment="1">
      <alignment horizontal="center" wrapText="1"/>
    </xf>
    <xf numFmtId="0" fontId="22" fillId="18" borderId="0" xfId="0" applyFont="1" applyFill="1" applyBorder="1" applyAlignment="1">
      <alignment horizontal="center" vertical="center" wrapText="1"/>
    </xf>
    <xf numFmtId="0" fontId="21" fillId="32" borderId="1" xfId="0" applyFont="1" applyFill="1" applyBorder="1" applyAlignment="1">
      <alignment horizontal="center" wrapText="1"/>
    </xf>
    <xf numFmtId="0" fontId="5" fillId="33" borderId="0" xfId="0" applyFont="1" applyFill="1" applyBorder="1" applyAlignment="1">
      <alignment horizontal="center"/>
    </xf>
    <xf numFmtId="0" fontId="5" fillId="33" borderId="16" xfId="0" applyFont="1" applyFill="1" applyBorder="1" applyAlignment="1">
      <alignment horizontal="center"/>
    </xf>
    <xf numFmtId="0" fontId="14" fillId="18" borderId="0" xfId="0" applyFont="1" applyFill="1" applyBorder="1" applyAlignment="1">
      <alignment horizontal="center" vertical="center" wrapText="1"/>
    </xf>
    <xf numFmtId="0" fontId="5" fillId="20" borderId="2" xfId="0" applyFont="1" applyFill="1" applyBorder="1" applyAlignment="1">
      <alignment horizontal="center" vertical="center"/>
    </xf>
    <xf numFmtId="0" fontId="5" fillId="20" borderId="3" xfId="0" applyFont="1" applyFill="1" applyBorder="1" applyAlignment="1">
      <alignment horizontal="center" vertical="center"/>
    </xf>
    <xf numFmtId="0" fontId="5" fillId="20" borderId="4" xfId="0" applyFont="1" applyFill="1" applyBorder="1" applyAlignment="1">
      <alignment horizontal="center" vertical="center"/>
    </xf>
    <xf numFmtId="0" fontId="5" fillId="20" borderId="5" xfId="0" applyFont="1" applyFill="1" applyBorder="1" applyAlignment="1">
      <alignment horizontal="center" vertical="center"/>
    </xf>
    <xf numFmtId="0" fontId="0" fillId="32" borderId="0" xfId="0" applyFill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16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3">
    <dxf>
      <font>
        <color rgb="FFFF0000"/>
      </font>
    </dxf>
    <dxf>
      <font>
        <color rgb="FFFF0000"/>
      </font>
      <fill>
        <patternFill>
          <bgColor rgb="FF00B050"/>
        </patternFill>
      </fill>
    </dxf>
    <dxf>
      <font>
        <color rgb="FFFF0000"/>
      </font>
      <fill>
        <patternFill>
          <bgColor rgb="FFF9846D"/>
        </patternFill>
      </fill>
    </dxf>
  </dxfs>
  <tableStyles count="0" defaultTableStyle="TableStyleMedium2" defaultPivotStyle="PivotStyleLight16"/>
  <colors>
    <mruColors>
      <color rgb="FF00FF00"/>
      <color rgb="FFFF9999"/>
      <color rgb="FF99FF99"/>
      <color rgb="FF000099"/>
      <color rgb="FF99FF66"/>
      <color rgb="FF006600"/>
      <color rgb="FFABB82E"/>
      <color rgb="FFF984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rELATORIO</a:t>
            </a:r>
            <a:r>
              <a:rPr lang="pt-PT" baseline="0"/>
              <a:t> FINAL</a:t>
            </a:r>
          </a:p>
        </c:rich>
      </c:tx>
      <c:layout>
        <c:manualLayout>
          <c:xMode val="edge"/>
          <c:yMode val="edge"/>
          <c:x val="0.38413115913702278"/>
          <c:y val="7.366482504604051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389178342756901E-2"/>
          <c:y val="9.521236640999986E-2"/>
          <c:w val="0.91492898494071218"/>
          <c:h val="0.66107394034309264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alpha val="88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6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'Relatorio Final'!$F$10:$H$10</c:f>
              <c:strCache>
                <c:ptCount val="3"/>
                <c:pt idx="0">
                  <c:v>Total Arrecadado</c:v>
                </c:pt>
                <c:pt idx="1">
                  <c:v>Total Gasto</c:v>
                </c:pt>
                <c:pt idx="2">
                  <c:v>Valor Disponivel</c:v>
                </c:pt>
              </c:strCache>
            </c:strRef>
          </c:cat>
          <c:val>
            <c:numRef>
              <c:f>'Relatorio Final'!$F$11:$H$11</c:f>
              <c:numCache>
                <c:formatCode>General</c:formatCode>
                <c:ptCount val="3"/>
              </c:numCache>
            </c:numRef>
          </c:val>
        </c:ser>
        <c:ser>
          <c:idx val="1"/>
          <c:order val="1"/>
          <c:spPr>
            <a:solidFill>
              <a:schemeClr val="accent5"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5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80" b="1" i="0" u="none" strike="noStrike" kern="1200" baseline="0">
                    <a:solidFill>
                      <a:schemeClr val="lt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'Relatorio Final'!$F$10:$H$10</c:f>
              <c:strCache>
                <c:ptCount val="3"/>
                <c:pt idx="0">
                  <c:v>Total Arrecadado</c:v>
                </c:pt>
                <c:pt idx="1">
                  <c:v>Total Gasto</c:v>
                </c:pt>
                <c:pt idx="2">
                  <c:v>Valor Disponivel</c:v>
                </c:pt>
              </c:strCache>
            </c:strRef>
          </c:cat>
          <c:val>
            <c:numRef>
              <c:f>'Relatorio Final'!$F$12:$H$12</c:f>
              <c:numCache>
                <c:formatCode>General</c:formatCode>
                <c:ptCount val="3"/>
                <c:pt idx="0">
                  <c:v>510</c:v>
                </c:pt>
                <c:pt idx="1">
                  <c:v>15</c:v>
                </c:pt>
                <c:pt idx="2">
                  <c:v>495</c:v>
                </c:pt>
              </c:numCache>
            </c:numRef>
          </c:val>
          <c:shape val="pyramid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-1123016944"/>
        <c:axId val="-1123018576"/>
        <c:axId val="0"/>
      </c:bar3DChart>
      <c:dateAx>
        <c:axId val="-1123016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Gastos</a:t>
                </a:r>
                <a:r>
                  <a:rPr lang="pt-PT" baseline="0"/>
                  <a:t> Pela Semana</a:t>
                </a:r>
              </a:p>
              <a:p>
                <a:pPr>
                  <a:defRPr/>
                </a:pPr>
                <a:endParaRPr lang="pt-PT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123018576"/>
        <c:crosses val="autoZero"/>
        <c:auto val="0"/>
        <c:lblOffset val="100"/>
        <c:baseTimeUnit val="days"/>
      </c:dateAx>
      <c:valAx>
        <c:axId val="-1123018576"/>
        <c:scaling>
          <c:orientation val="minMax"/>
        </c:scaling>
        <c:delete val="1"/>
        <c:axPos val="l"/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out"/>
        <c:minorTickMark val="none"/>
        <c:tickLblPos val="nextTo"/>
        <c:crossAx val="-112301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</xdr:row>
      <xdr:rowOff>0</xdr:rowOff>
    </xdr:from>
    <xdr:to>
      <xdr:col>13</xdr:col>
      <xdr:colOff>581025</xdr:colOff>
      <xdr:row>25</xdr:row>
      <xdr:rowOff>133350</xdr:rowOff>
    </xdr:to>
    <xdr:graphicFrame macro="">
      <xdr:nvGraphicFramePr>
        <xdr:cNvPr id="2" name="Chart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R42"/>
  <sheetViews>
    <sheetView workbookViewId="0">
      <selection activeCell="C2" sqref="C2:R7"/>
    </sheetView>
  </sheetViews>
  <sheetFormatPr defaultRowHeight="15" x14ac:dyDescent="0.25"/>
  <cols>
    <col min="3" max="3" width="18.85546875" customWidth="1"/>
    <col min="4" max="4" width="16.42578125" customWidth="1"/>
    <col min="5" max="5" width="9.5703125" customWidth="1"/>
    <col min="6" max="6" width="11.140625" bestFit="1" customWidth="1"/>
    <col min="7" max="7" width="17.5703125" customWidth="1"/>
    <col min="10" max="10" width="11.85546875" customWidth="1"/>
  </cols>
  <sheetData>
    <row r="2" spans="3:18" ht="15" customHeight="1" x14ac:dyDescent="0.25">
      <c r="C2" s="83" t="s">
        <v>0</v>
      </c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</row>
    <row r="3" spans="3:18" ht="15" customHeight="1" x14ac:dyDescent="0.25"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</row>
    <row r="4" spans="3:18" ht="15" customHeight="1" x14ac:dyDescent="0.25"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3"/>
    </row>
    <row r="5" spans="3:18" ht="15" customHeight="1" x14ac:dyDescent="0.25"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  <c r="R5" s="83"/>
    </row>
    <row r="6" spans="3:18" ht="15" customHeight="1" x14ac:dyDescent="0.25"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</row>
    <row r="7" spans="3:18" ht="15" customHeight="1" x14ac:dyDescent="0.25"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</row>
    <row r="8" spans="3:18" ht="15.75" x14ac:dyDescent="0.25">
      <c r="C8" s="91" t="s">
        <v>39</v>
      </c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</row>
    <row r="9" spans="3:18" ht="15.75" x14ac:dyDescent="0.25">
      <c r="C9" s="92" t="s">
        <v>40</v>
      </c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</row>
    <row r="10" spans="3:18" ht="15" customHeight="1" x14ac:dyDescent="0.25">
      <c r="C10" s="84" t="s">
        <v>41</v>
      </c>
      <c r="D10" s="95" t="s">
        <v>91</v>
      </c>
      <c r="E10" s="85" t="s">
        <v>42</v>
      </c>
      <c r="F10" s="86" t="s">
        <v>43</v>
      </c>
      <c r="G10" s="93" t="s">
        <v>100</v>
      </c>
      <c r="H10" s="87" t="s">
        <v>44</v>
      </c>
      <c r="I10" s="88"/>
      <c r="J10" s="80" t="s">
        <v>45</v>
      </c>
      <c r="K10" s="81"/>
      <c r="L10" s="81"/>
      <c r="M10" s="82"/>
      <c r="N10" s="97"/>
      <c r="O10" s="97"/>
      <c r="P10" s="97"/>
      <c r="Q10" s="97"/>
      <c r="R10" s="1"/>
    </row>
    <row r="11" spans="3:18" ht="15.75" x14ac:dyDescent="0.25">
      <c r="C11" s="84"/>
      <c r="D11" s="96"/>
      <c r="E11" s="85"/>
      <c r="F11" s="86"/>
      <c r="G11" s="94"/>
      <c r="H11" s="89"/>
      <c r="I11" s="90"/>
      <c r="J11" s="11" t="s">
        <v>46</v>
      </c>
      <c r="K11" s="77" t="s">
        <v>53</v>
      </c>
      <c r="L11" s="78"/>
      <c r="M11" s="79"/>
      <c r="N11" s="98"/>
      <c r="O11" s="98"/>
      <c r="P11" s="98"/>
      <c r="Q11" s="98"/>
      <c r="R11" s="1"/>
    </row>
    <row r="12" spans="3:18" x14ac:dyDescent="0.25">
      <c r="C12" s="13" t="s">
        <v>52</v>
      </c>
      <c r="D12" s="40">
        <v>600</v>
      </c>
      <c r="E12" s="46">
        <v>3</v>
      </c>
      <c r="F12" s="46"/>
      <c r="G12" s="45">
        <f>F12+E12*D12</f>
        <v>1800</v>
      </c>
      <c r="H12" s="71"/>
      <c r="I12" s="72"/>
      <c r="J12" s="14" t="s">
        <v>47</v>
      </c>
      <c r="K12" s="68"/>
      <c r="L12" s="69"/>
      <c r="M12" s="70"/>
      <c r="N12" s="98"/>
      <c r="O12" s="98"/>
      <c r="P12" s="98"/>
      <c r="Q12" s="98"/>
      <c r="R12" s="1"/>
    </row>
    <row r="13" spans="3:18" x14ac:dyDescent="0.25">
      <c r="C13" s="13" t="s">
        <v>92</v>
      </c>
      <c r="D13" s="40">
        <v>500</v>
      </c>
      <c r="E13" s="46">
        <v>1</v>
      </c>
      <c r="F13" s="46"/>
      <c r="G13" s="45">
        <f t="shared" ref="G13:G37" si="0">F13+E13*D13</f>
        <v>500</v>
      </c>
      <c r="H13" s="71"/>
      <c r="I13" s="72"/>
      <c r="J13" s="14" t="s">
        <v>47</v>
      </c>
      <c r="K13" s="27"/>
      <c r="L13" s="28"/>
      <c r="M13" s="29"/>
      <c r="N13" s="98"/>
      <c r="O13" s="98"/>
      <c r="P13" s="98"/>
      <c r="Q13" s="98"/>
      <c r="R13" s="1"/>
    </row>
    <row r="14" spans="3:18" x14ac:dyDescent="0.25">
      <c r="C14" s="12" t="s">
        <v>48</v>
      </c>
      <c r="D14" s="41">
        <v>600</v>
      </c>
      <c r="E14" s="46">
        <v>1</v>
      </c>
      <c r="F14" s="46">
        <v>1</v>
      </c>
      <c r="G14" s="45">
        <f t="shared" si="0"/>
        <v>601</v>
      </c>
      <c r="H14" s="71"/>
      <c r="I14" s="72"/>
      <c r="J14" s="14" t="s">
        <v>47</v>
      </c>
      <c r="K14" s="68"/>
      <c r="L14" s="69"/>
      <c r="M14" s="70"/>
      <c r="N14" s="98"/>
      <c r="O14" s="98"/>
      <c r="P14" s="98"/>
      <c r="Q14" s="98"/>
      <c r="R14" s="1"/>
    </row>
    <row r="15" spans="3:18" x14ac:dyDescent="0.25">
      <c r="C15" s="12" t="s">
        <v>99</v>
      </c>
      <c r="D15" s="41">
        <v>450</v>
      </c>
      <c r="E15" s="46">
        <v>1</v>
      </c>
      <c r="F15" s="46"/>
      <c r="G15" s="45">
        <f t="shared" si="0"/>
        <v>450</v>
      </c>
      <c r="H15" s="71"/>
      <c r="I15" s="72"/>
      <c r="J15" s="14" t="s">
        <v>47</v>
      </c>
      <c r="K15" s="27"/>
      <c r="L15" s="28"/>
      <c r="M15" s="29"/>
      <c r="N15" s="98"/>
      <c r="O15" s="98"/>
      <c r="P15" s="98"/>
      <c r="Q15" s="98"/>
      <c r="R15" s="1"/>
    </row>
    <row r="16" spans="3:18" x14ac:dyDescent="0.25">
      <c r="C16" s="12" t="s">
        <v>49</v>
      </c>
      <c r="D16" s="41">
        <v>650</v>
      </c>
      <c r="E16" s="46">
        <v>1</v>
      </c>
      <c r="F16" s="46">
        <v>1</v>
      </c>
      <c r="G16" s="45">
        <f t="shared" si="0"/>
        <v>651</v>
      </c>
      <c r="H16" s="71"/>
      <c r="I16" s="72"/>
      <c r="J16" s="14" t="s">
        <v>47</v>
      </c>
      <c r="K16" s="68"/>
      <c r="L16" s="69"/>
      <c r="M16" s="70"/>
      <c r="N16" s="98"/>
      <c r="O16" s="98"/>
      <c r="P16" s="98"/>
      <c r="Q16" s="98"/>
      <c r="R16" s="1"/>
    </row>
    <row r="17" spans="3:18" x14ac:dyDescent="0.25">
      <c r="C17" s="12" t="s">
        <v>93</v>
      </c>
      <c r="D17" s="41">
        <v>750</v>
      </c>
      <c r="E17" s="46">
        <v>1</v>
      </c>
      <c r="F17" s="46"/>
      <c r="G17" s="45">
        <f t="shared" si="0"/>
        <v>750</v>
      </c>
      <c r="H17" s="71"/>
      <c r="I17" s="72"/>
      <c r="J17" s="14" t="s">
        <v>47</v>
      </c>
      <c r="K17" s="27"/>
      <c r="L17" s="28"/>
      <c r="M17" s="29"/>
      <c r="N17" s="98"/>
      <c r="O17" s="98"/>
      <c r="P17" s="98"/>
      <c r="Q17" s="98"/>
      <c r="R17" s="1"/>
    </row>
    <row r="18" spans="3:18" x14ac:dyDescent="0.25">
      <c r="C18" s="12" t="s">
        <v>94</v>
      </c>
      <c r="D18" s="41">
        <v>600</v>
      </c>
      <c r="E18" s="46">
        <v>1</v>
      </c>
      <c r="F18" s="46"/>
      <c r="G18" s="45">
        <f t="shared" si="0"/>
        <v>600</v>
      </c>
      <c r="H18" s="71"/>
      <c r="I18" s="72"/>
      <c r="J18" s="14" t="s">
        <v>47</v>
      </c>
      <c r="K18" s="27"/>
      <c r="L18" s="28"/>
      <c r="M18" s="29"/>
      <c r="N18" s="98"/>
      <c r="O18" s="98"/>
      <c r="P18" s="98"/>
      <c r="Q18" s="98"/>
      <c r="R18" s="1"/>
    </row>
    <row r="19" spans="3:18" x14ac:dyDescent="0.25">
      <c r="C19" s="12" t="s">
        <v>50</v>
      </c>
      <c r="D19" s="41">
        <v>900</v>
      </c>
      <c r="E19" s="46">
        <v>2</v>
      </c>
      <c r="F19" s="46">
        <v>1</v>
      </c>
      <c r="G19" s="45">
        <f t="shared" si="0"/>
        <v>1801</v>
      </c>
      <c r="H19" s="71"/>
      <c r="I19" s="72"/>
      <c r="J19" s="14" t="s">
        <v>47</v>
      </c>
      <c r="K19" s="68"/>
      <c r="L19" s="69"/>
      <c r="M19" s="70"/>
      <c r="N19" s="98"/>
      <c r="O19" s="98"/>
      <c r="P19" s="98"/>
      <c r="Q19" s="98"/>
      <c r="R19" s="1"/>
    </row>
    <row r="20" spans="3:18" x14ac:dyDescent="0.25">
      <c r="C20" s="12" t="s">
        <v>20</v>
      </c>
      <c r="D20" s="41">
        <v>200</v>
      </c>
      <c r="E20" s="46">
        <v>1</v>
      </c>
      <c r="F20" s="46"/>
      <c r="G20" s="45">
        <f t="shared" si="0"/>
        <v>200</v>
      </c>
      <c r="H20" s="71"/>
      <c r="I20" s="72"/>
      <c r="J20" s="14" t="s">
        <v>47</v>
      </c>
      <c r="K20" s="68"/>
      <c r="L20" s="69"/>
      <c r="M20" s="70"/>
      <c r="N20" s="98"/>
      <c r="O20" s="98"/>
      <c r="P20" s="98"/>
      <c r="Q20" s="98"/>
      <c r="R20" s="1"/>
    </row>
    <row r="21" spans="3:18" x14ac:dyDescent="0.25">
      <c r="C21" s="12" t="s">
        <v>21</v>
      </c>
      <c r="D21" s="41">
        <v>750</v>
      </c>
      <c r="E21" s="46">
        <v>1</v>
      </c>
      <c r="F21" s="46"/>
      <c r="G21" s="45">
        <f t="shared" si="0"/>
        <v>750</v>
      </c>
      <c r="H21" s="71"/>
      <c r="I21" s="72"/>
      <c r="J21" s="14" t="s">
        <v>47</v>
      </c>
      <c r="K21" s="68"/>
      <c r="L21" s="69"/>
      <c r="M21" s="70"/>
      <c r="N21" s="98"/>
      <c r="O21" s="98"/>
      <c r="P21" s="98"/>
      <c r="Q21" s="98"/>
      <c r="R21" s="1"/>
    </row>
    <row r="22" spans="3:18" x14ac:dyDescent="0.25">
      <c r="C22" s="12" t="s">
        <v>22</v>
      </c>
      <c r="D22" s="41">
        <v>300</v>
      </c>
      <c r="E22" s="46">
        <v>1</v>
      </c>
      <c r="F22" s="46"/>
      <c r="G22" s="45">
        <f t="shared" si="0"/>
        <v>300</v>
      </c>
      <c r="H22" s="71"/>
      <c r="I22" s="72"/>
      <c r="J22" s="14" t="s">
        <v>47</v>
      </c>
      <c r="K22" s="68"/>
      <c r="L22" s="69"/>
      <c r="M22" s="70"/>
      <c r="N22" s="98"/>
      <c r="O22" s="98"/>
      <c r="P22" s="98"/>
      <c r="Q22" s="98"/>
      <c r="R22" s="1"/>
    </row>
    <row r="23" spans="3:18" x14ac:dyDescent="0.25">
      <c r="C23" s="12" t="s">
        <v>37</v>
      </c>
      <c r="D23" s="41">
        <v>1000</v>
      </c>
      <c r="E23" s="46"/>
      <c r="F23" s="46">
        <v>1</v>
      </c>
      <c r="G23" s="45">
        <f t="shared" si="0"/>
        <v>1</v>
      </c>
      <c r="H23" s="71"/>
      <c r="I23" s="72"/>
      <c r="J23" s="14" t="s">
        <v>47</v>
      </c>
      <c r="K23" s="27"/>
      <c r="L23" s="28"/>
      <c r="M23" s="29"/>
      <c r="N23" s="98"/>
      <c r="O23" s="98"/>
      <c r="P23" s="98"/>
      <c r="Q23" s="98"/>
      <c r="R23" s="1"/>
    </row>
    <row r="24" spans="3:18" x14ac:dyDescent="0.25">
      <c r="C24" s="12" t="s">
        <v>23</v>
      </c>
      <c r="D24" s="41">
        <v>1500</v>
      </c>
      <c r="E24" s="46">
        <v>2</v>
      </c>
      <c r="F24" s="46"/>
      <c r="G24" s="45">
        <f t="shared" si="0"/>
        <v>3000</v>
      </c>
      <c r="H24" s="71"/>
      <c r="I24" s="72"/>
      <c r="J24" s="14" t="s">
        <v>47</v>
      </c>
      <c r="K24" s="68"/>
      <c r="L24" s="69"/>
      <c r="M24" s="70"/>
      <c r="N24" s="98"/>
      <c r="O24" s="98"/>
      <c r="P24" s="98"/>
      <c r="Q24" s="98"/>
      <c r="R24" s="1"/>
    </row>
    <row r="25" spans="3:18" x14ac:dyDescent="0.25">
      <c r="C25" s="12" t="s">
        <v>24</v>
      </c>
      <c r="D25" s="41">
        <v>2000</v>
      </c>
      <c r="E25" s="46"/>
      <c r="F25" s="46">
        <v>1</v>
      </c>
      <c r="G25" s="45">
        <f t="shared" si="0"/>
        <v>1</v>
      </c>
      <c r="H25" s="71"/>
      <c r="I25" s="72"/>
      <c r="J25" s="14" t="s">
        <v>47</v>
      </c>
      <c r="K25" s="68"/>
      <c r="L25" s="69"/>
      <c r="M25" s="70"/>
      <c r="N25" s="98"/>
      <c r="O25" s="98"/>
      <c r="P25" s="98"/>
      <c r="Q25" s="98"/>
      <c r="R25" s="1"/>
    </row>
    <row r="26" spans="3:18" x14ac:dyDescent="0.25">
      <c r="C26" s="12" t="s">
        <v>25</v>
      </c>
      <c r="D26" s="41">
        <v>2400</v>
      </c>
      <c r="E26" s="46"/>
      <c r="F26" s="46">
        <v>1</v>
      </c>
      <c r="G26" s="45">
        <f t="shared" si="0"/>
        <v>1</v>
      </c>
      <c r="H26" s="71"/>
      <c r="I26" s="72"/>
      <c r="J26" s="14" t="s">
        <v>47</v>
      </c>
      <c r="K26" s="68"/>
      <c r="L26" s="69"/>
      <c r="M26" s="70"/>
      <c r="N26" s="98"/>
      <c r="O26" s="98"/>
      <c r="P26" s="98"/>
      <c r="Q26" s="98"/>
      <c r="R26" s="1"/>
    </row>
    <row r="27" spans="3:18" x14ac:dyDescent="0.25">
      <c r="C27" s="12" t="s">
        <v>26</v>
      </c>
      <c r="D27" s="41">
        <v>1300</v>
      </c>
      <c r="E27" s="46"/>
      <c r="F27" s="46">
        <v>1</v>
      </c>
      <c r="G27" s="45">
        <f t="shared" si="0"/>
        <v>1</v>
      </c>
      <c r="H27" s="71"/>
      <c r="I27" s="72"/>
      <c r="J27" s="14" t="s">
        <v>47</v>
      </c>
      <c r="K27" s="68"/>
      <c r="L27" s="69"/>
      <c r="M27" s="70"/>
      <c r="N27" s="98"/>
      <c r="O27" s="98"/>
      <c r="P27" s="98"/>
      <c r="Q27" s="98"/>
      <c r="R27" s="1"/>
    </row>
    <row r="28" spans="3:18" x14ac:dyDescent="0.25">
      <c r="C28" s="12" t="s">
        <v>27</v>
      </c>
      <c r="D28" s="41">
        <v>5000</v>
      </c>
      <c r="E28" s="46"/>
      <c r="F28" s="46">
        <v>1</v>
      </c>
      <c r="G28" s="45">
        <f t="shared" si="0"/>
        <v>1</v>
      </c>
      <c r="H28" s="71"/>
      <c r="I28" s="72"/>
      <c r="J28" s="14" t="s">
        <v>47</v>
      </c>
      <c r="K28" s="68"/>
      <c r="L28" s="69"/>
      <c r="M28" s="70"/>
      <c r="N28" s="98"/>
      <c r="O28" s="98"/>
      <c r="P28" s="98"/>
      <c r="Q28" s="98"/>
    </row>
    <row r="29" spans="3:18" x14ac:dyDescent="0.25">
      <c r="C29" s="12" t="s">
        <v>28</v>
      </c>
      <c r="D29" s="41">
        <v>5400</v>
      </c>
      <c r="E29" s="46">
        <v>1</v>
      </c>
      <c r="F29" s="46"/>
      <c r="G29" s="45">
        <f t="shared" si="0"/>
        <v>5400</v>
      </c>
      <c r="H29" s="71"/>
      <c r="I29" s="72"/>
      <c r="J29" s="14" t="s">
        <v>47</v>
      </c>
      <c r="K29" s="68"/>
      <c r="L29" s="69"/>
      <c r="M29" s="70"/>
      <c r="N29" s="98"/>
      <c r="O29" s="98"/>
      <c r="P29" s="98"/>
      <c r="Q29" s="98"/>
    </row>
    <row r="30" spans="3:18" x14ac:dyDescent="0.25">
      <c r="C30" s="12" t="s">
        <v>29</v>
      </c>
      <c r="D30" s="41">
        <v>350</v>
      </c>
      <c r="E30" s="46">
        <v>1</v>
      </c>
      <c r="F30" s="46"/>
      <c r="G30" s="45">
        <f t="shared" si="0"/>
        <v>350</v>
      </c>
      <c r="H30" s="71"/>
      <c r="I30" s="72"/>
      <c r="J30" s="14" t="s">
        <v>47</v>
      </c>
      <c r="K30" s="68"/>
      <c r="L30" s="69"/>
      <c r="M30" s="70"/>
      <c r="N30" s="98"/>
      <c r="O30" s="98"/>
      <c r="P30" s="98"/>
      <c r="Q30" s="98"/>
    </row>
    <row r="31" spans="3:18" x14ac:dyDescent="0.25">
      <c r="C31" s="12" t="s">
        <v>30</v>
      </c>
      <c r="D31" s="41">
        <v>1400</v>
      </c>
      <c r="E31" s="46">
        <v>1</v>
      </c>
      <c r="F31" s="46"/>
      <c r="G31" s="45">
        <f t="shared" si="0"/>
        <v>1400</v>
      </c>
      <c r="H31" s="71"/>
      <c r="I31" s="72"/>
      <c r="J31" s="14" t="s">
        <v>47</v>
      </c>
      <c r="K31" s="68"/>
      <c r="L31" s="69"/>
      <c r="M31" s="70"/>
      <c r="N31" s="98"/>
      <c r="O31" s="98"/>
      <c r="P31" s="98"/>
      <c r="Q31" s="98"/>
    </row>
    <row r="32" spans="3:18" x14ac:dyDescent="0.25">
      <c r="C32" s="12" t="s">
        <v>31</v>
      </c>
      <c r="D32" s="42">
        <v>950</v>
      </c>
      <c r="E32" s="47">
        <v>1</v>
      </c>
      <c r="F32" s="47"/>
      <c r="G32" s="45">
        <f t="shared" si="0"/>
        <v>950</v>
      </c>
      <c r="H32" s="71"/>
      <c r="I32" s="72"/>
      <c r="J32" s="14"/>
      <c r="K32" s="27"/>
      <c r="L32" s="28"/>
      <c r="M32" s="29"/>
      <c r="N32" s="98"/>
      <c r="O32" s="98"/>
      <c r="P32" s="98"/>
      <c r="Q32" s="98"/>
    </row>
    <row r="33" spans="3:17" x14ac:dyDescent="0.25">
      <c r="C33" s="12" t="s">
        <v>95</v>
      </c>
      <c r="D33" s="42">
        <v>1200</v>
      </c>
      <c r="E33" s="47">
        <v>1</v>
      </c>
      <c r="F33" s="47">
        <v>1</v>
      </c>
      <c r="G33" s="45">
        <f t="shared" si="0"/>
        <v>1201</v>
      </c>
      <c r="H33" s="71"/>
      <c r="I33" s="72"/>
      <c r="J33" s="14" t="s">
        <v>47</v>
      </c>
      <c r="K33" s="68" t="s">
        <v>9</v>
      </c>
      <c r="L33" s="69"/>
      <c r="M33" s="70"/>
      <c r="N33" s="98"/>
      <c r="O33" s="98"/>
      <c r="P33" s="98"/>
      <c r="Q33" s="98"/>
    </row>
    <row r="34" spans="3:17" x14ac:dyDescent="0.25">
      <c r="C34" s="38" t="s">
        <v>97</v>
      </c>
      <c r="D34" s="43">
        <v>240</v>
      </c>
      <c r="E34" s="47"/>
      <c r="F34" s="47">
        <v>1</v>
      </c>
      <c r="G34" s="45">
        <f t="shared" si="0"/>
        <v>1</v>
      </c>
      <c r="H34" s="71"/>
      <c r="I34" s="72"/>
      <c r="J34" s="14" t="s">
        <v>47</v>
      </c>
      <c r="K34" s="68"/>
      <c r="L34" s="69"/>
      <c r="M34" s="70"/>
      <c r="N34" s="98"/>
      <c r="O34" s="98"/>
      <c r="P34" s="98"/>
      <c r="Q34" s="98"/>
    </row>
    <row r="35" spans="3:17" x14ac:dyDescent="0.25">
      <c r="C35" s="38" t="s">
        <v>98</v>
      </c>
      <c r="D35" s="43">
        <v>200</v>
      </c>
      <c r="E35" s="47">
        <v>1</v>
      </c>
      <c r="F35" s="47"/>
      <c r="G35" s="45">
        <f t="shared" si="0"/>
        <v>200</v>
      </c>
      <c r="H35" s="71"/>
      <c r="I35" s="72"/>
      <c r="J35" s="14" t="s">
        <v>47</v>
      </c>
      <c r="K35" s="68"/>
      <c r="L35" s="69"/>
      <c r="M35" s="70"/>
      <c r="N35" s="98"/>
      <c r="O35" s="98"/>
      <c r="P35" s="98"/>
      <c r="Q35" s="98"/>
    </row>
    <row r="36" spans="3:17" x14ac:dyDescent="0.25">
      <c r="C36" s="38" t="s">
        <v>36</v>
      </c>
      <c r="D36" s="43">
        <v>180</v>
      </c>
      <c r="E36" s="47">
        <v>1</v>
      </c>
      <c r="F36" s="47"/>
      <c r="G36" s="45">
        <f t="shared" si="0"/>
        <v>180</v>
      </c>
      <c r="H36" s="71"/>
      <c r="I36" s="72"/>
      <c r="J36" s="14" t="s">
        <v>47</v>
      </c>
      <c r="K36" s="68"/>
      <c r="L36" s="69"/>
      <c r="M36" s="70"/>
      <c r="N36" s="98"/>
      <c r="O36" s="98"/>
      <c r="P36" s="98"/>
      <c r="Q36" s="98"/>
    </row>
    <row r="37" spans="3:17" x14ac:dyDescent="0.25">
      <c r="C37" s="38" t="s">
        <v>96</v>
      </c>
      <c r="D37" s="44">
        <v>300</v>
      </c>
      <c r="E37" s="46">
        <v>1</v>
      </c>
      <c r="F37" s="46">
        <v>1</v>
      </c>
      <c r="G37" s="45">
        <f t="shared" si="0"/>
        <v>301</v>
      </c>
      <c r="H37" s="71"/>
      <c r="I37" s="72"/>
      <c r="J37" s="14" t="s">
        <v>47</v>
      </c>
      <c r="K37" s="68"/>
      <c r="L37" s="69"/>
      <c r="M37" s="70"/>
      <c r="N37" s="98"/>
      <c r="O37" s="98"/>
      <c r="P37" s="98"/>
      <c r="Q37" s="98"/>
    </row>
    <row r="38" spans="3:17" x14ac:dyDescent="0.25">
      <c r="C38" s="73" t="s">
        <v>51</v>
      </c>
      <c r="D38" s="39"/>
      <c r="G38" s="75">
        <f>G12+G13+G14+G15+G16+G17+G18+G19+G20+G21+G22+G23+G24+G25+G26+G27+G28+G29+G30+G31+G32+G33+G34+G35+G36+G37</f>
        <v>21391</v>
      </c>
      <c r="N38" s="98"/>
      <c r="O38" s="98"/>
      <c r="P38" s="98"/>
      <c r="Q38" s="98"/>
    </row>
    <row r="39" spans="3:17" x14ac:dyDescent="0.25">
      <c r="C39" s="74"/>
      <c r="D39" s="39"/>
      <c r="G39" s="76"/>
      <c r="H39" t="s">
        <v>9</v>
      </c>
      <c r="N39" s="98"/>
      <c r="O39" s="98"/>
      <c r="P39" s="98"/>
      <c r="Q39" s="98"/>
    </row>
    <row r="42" spans="3:17" ht="15.75" x14ac:dyDescent="0.25">
      <c r="E42" s="15"/>
    </row>
  </sheetData>
  <sheetProtection algorithmName="SHA-512" hashValue="X4bPp7qWMcvO03qFcv0am/QxUkv+NJrQxsIsDf2CtoMDajqIlbOCe1TQm8vWsQ8EWX6nAhCMcZWELLBn9Wbiaw==" saltValue="vv12/ONJAX2wqwF4rIG1Zw==" spinCount="100000" sheet="1" objects="1" scenarios="1"/>
  <mergeCells count="60">
    <mergeCell ref="K37:M37"/>
    <mergeCell ref="H23:I23"/>
    <mergeCell ref="H37:I37"/>
    <mergeCell ref="H25:I25"/>
    <mergeCell ref="K28:M28"/>
    <mergeCell ref="H24:I24"/>
    <mergeCell ref="K34:M34"/>
    <mergeCell ref="K35:M35"/>
    <mergeCell ref="K36:M36"/>
    <mergeCell ref="H22:I22"/>
    <mergeCell ref="H26:I26"/>
    <mergeCell ref="H27:I27"/>
    <mergeCell ref="H28:I28"/>
    <mergeCell ref="H29:I29"/>
    <mergeCell ref="K11:M11"/>
    <mergeCell ref="J10:M10"/>
    <mergeCell ref="C2:R7"/>
    <mergeCell ref="C10:C11"/>
    <mergeCell ref="E10:E11"/>
    <mergeCell ref="F10:F11"/>
    <mergeCell ref="H10:I11"/>
    <mergeCell ref="C8:R8"/>
    <mergeCell ref="C9:R9"/>
    <mergeCell ref="G10:G11"/>
    <mergeCell ref="D10:D11"/>
    <mergeCell ref="N10:Q39"/>
    <mergeCell ref="K12:M12"/>
    <mergeCell ref="H16:I16"/>
    <mergeCell ref="H19:I19"/>
    <mergeCell ref="H20:I20"/>
    <mergeCell ref="H21:I21"/>
    <mergeCell ref="K14:M14"/>
    <mergeCell ref="K16:M16"/>
    <mergeCell ref="K19:M19"/>
    <mergeCell ref="K20:M20"/>
    <mergeCell ref="K21:M21"/>
    <mergeCell ref="H18:I18"/>
    <mergeCell ref="H17:I17"/>
    <mergeCell ref="H15:I15"/>
    <mergeCell ref="H13:I13"/>
    <mergeCell ref="H12:I12"/>
    <mergeCell ref="H14:I14"/>
    <mergeCell ref="C38:C39"/>
    <mergeCell ref="K29:M29"/>
    <mergeCell ref="K30:M30"/>
    <mergeCell ref="K31:M31"/>
    <mergeCell ref="K33:M33"/>
    <mergeCell ref="H30:I30"/>
    <mergeCell ref="H31:I31"/>
    <mergeCell ref="H33:I33"/>
    <mergeCell ref="G38:G39"/>
    <mergeCell ref="H32:I32"/>
    <mergeCell ref="H34:I34"/>
    <mergeCell ref="H35:I35"/>
    <mergeCell ref="H36:I36"/>
    <mergeCell ref="K22:M22"/>
    <mergeCell ref="K24:M24"/>
    <mergeCell ref="K25:M25"/>
    <mergeCell ref="K26:M26"/>
    <mergeCell ref="K27:M27"/>
  </mergeCells>
  <pageMargins left="0.7" right="0.7" top="0.75" bottom="1.23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4:O35"/>
  <sheetViews>
    <sheetView workbookViewId="0">
      <selection activeCell="D4" sqref="D4:O7"/>
    </sheetView>
  </sheetViews>
  <sheetFormatPr defaultRowHeight="15" x14ac:dyDescent="0.25"/>
  <cols>
    <col min="3" max="3" width="15.42578125" bestFit="1" customWidth="1"/>
    <col min="4" max="4" width="7.7109375" customWidth="1"/>
    <col min="12" max="12" width="11.7109375" bestFit="1" customWidth="1"/>
  </cols>
  <sheetData>
    <row r="4" spans="3:15" x14ac:dyDescent="0.25">
      <c r="D4" s="106" t="s">
        <v>82</v>
      </c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</row>
    <row r="5" spans="3:15" ht="15" customHeight="1" x14ac:dyDescent="0.25">
      <c r="D5" s="106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</row>
    <row r="6" spans="3:15" ht="15" customHeight="1" x14ac:dyDescent="0.25">
      <c r="D6" s="106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</row>
    <row r="7" spans="3:15" ht="15.75" customHeight="1" x14ac:dyDescent="0.25">
      <c r="D7" s="106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</row>
    <row r="8" spans="3:15" ht="21" x14ac:dyDescent="0.35">
      <c r="C8" s="101" t="s">
        <v>58</v>
      </c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</row>
    <row r="9" spans="3:15" ht="15.75" x14ac:dyDescent="0.25">
      <c r="C9" s="16" t="s">
        <v>2</v>
      </c>
      <c r="D9" s="3" t="s">
        <v>56</v>
      </c>
      <c r="E9" s="108" t="s">
        <v>54</v>
      </c>
      <c r="F9" s="109"/>
      <c r="G9" s="103" t="s">
        <v>90</v>
      </c>
      <c r="H9" s="103"/>
      <c r="I9" s="103"/>
      <c r="J9" s="99" t="s">
        <v>53</v>
      </c>
      <c r="K9" s="100"/>
      <c r="L9" s="36" t="s">
        <v>57</v>
      </c>
    </row>
    <row r="10" spans="3:15" ht="15.75" x14ac:dyDescent="0.25">
      <c r="C10" s="37" t="s">
        <v>19</v>
      </c>
      <c r="D10" s="4">
        <v>55</v>
      </c>
      <c r="E10" s="104"/>
      <c r="F10" s="105"/>
      <c r="G10" s="102"/>
      <c r="H10" s="102"/>
      <c r="I10" s="102"/>
      <c r="J10" s="68"/>
      <c r="K10" s="70"/>
      <c r="L10" s="2" t="s">
        <v>47</v>
      </c>
    </row>
    <row r="11" spans="3:15" ht="15.75" x14ac:dyDescent="0.25">
      <c r="C11" s="37" t="s">
        <v>18</v>
      </c>
      <c r="D11" s="4">
        <v>75</v>
      </c>
      <c r="E11" s="104"/>
      <c r="F11" s="105"/>
      <c r="G11" s="102"/>
      <c r="H11" s="102"/>
      <c r="I11" s="102"/>
      <c r="J11" s="68"/>
      <c r="K11" s="70"/>
      <c r="L11" s="2" t="s">
        <v>47</v>
      </c>
    </row>
    <row r="12" spans="3:15" ht="15.75" x14ac:dyDescent="0.25">
      <c r="C12" s="37" t="s">
        <v>13</v>
      </c>
      <c r="D12" s="4">
        <v>55</v>
      </c>
      <c r="E12" s="104"/>
      <c r="F12" s="105"/>
      <c r="G12" s="102"/>
      <c r="H12" s="102"/>
      <c r="I12" s="102"/>
      <c r="J12" s="68"/>
      <c r="K12" s="70"/>
      <c r="L12" s="2" t="s">
        <v>47</v>
      </c>
    </row>
    <row r="13" spans="3:15" ht="15.75" x14ac:dyDescent="0.25">
      <c r="C13" s="37" t="s">
        <v>14</v>
      </c>
      <c r="D13" s="4">
        <v>70</v>
      </c>
      <c r="E13" s="104"/>
      <c r="F13" s="105"/>
      <c r="G13" s="102"/>
      <c r="H13" s="102"/>
      <c r="I13" s="102"/>
      <c r="J13" s="68"/>
      <c r="K13" s="70"/>
      <c r="L13" s="2" t="s">
        <v>47</v>
      </c>
    </row>
    <row r="14" spans="3:15" ht="15.75" x14ac:dyDescent="0.25">
      <c r="C14" s="37" t="s">
        <v>15</v>
      </c>
      <c r="D14" s="4">
        <v>60</v>
      </c>
      <c r="E14" s="104"/>
      <c r="F14" s="105"/>
      <c r="G14" s="102"/>
      <c r="H14" s="102"/>
      <c r="I14" s="102"/>
      <c r="J14" s="68"/>
      <c r="K14" s="70"/>
      <c r="L14" s="2" t="s">
        <v>47</v>
      </c>
    </row>
    <row r="15" spans="3:15" ht="15.75" x14ac:dyDescent="0.25">
      <c r="C15" s="37" t="s">
        <v>16</v>
      </c>
      <c r="D15" s="4">
        <v>55</v>
      </c>
      <c r="E15" s="104"/>
      <c r="F15" s="105"/>
      <c r="G15" s="102"/>
      <c r="H15" s="102"/>
      <c r="I15" s="102"/>
      <c r="J15" s="68"/>
      <c r="K15" s="70"/>
      <c r="L15" s="2" t="s">
        <v>47</v>
      </c>
    </row>
    <row r="16" spans="3:15" ht="15.75" x14ac:dyDescent="0.25">
      <c r="C16" s="37" t="s">
        <v>17</v>
      </c>
      <c r="D16" s="4">
        <v>80</v>
      </c>
      <c r="E16" s="104"/>
      <c r="F16" s="105"/>
      <c r="G16" s="102"/>
      <c r="H16" s="102"/>
      <c r="I16" s="102"/>
      <c r="J16" s="68"/>
      <c r="K16" s="70"/>
      <c r="L16" s="2" t="s">
        <v>47</v>
      </c>
    </row>
    <row r="17" spans="3:12" ht="15.75" x14ac:dyDescent="0.25">
      <c r="C17" s="37" t="s">
        <v>20</v>
      </c>
      <c r="D17" s="4">
        <v>85</v>
      </c>
      <c r="E17" s="104"/>
      <c r="F17" s="105"/>
      <c r="G17" s="102"/>
      <c r="H17" s="102"/>
      <c r="I17" s="102"/>
      <c r="J17" s="68"/>
      <c r="K17" s="70"/>
      <c r="L17" s="2" t="s">
        <v>47</v>
      </c>
    </row>
    <row r="18" spans="3:12" ht="15.75" x14ac:dyDescent="0.25">
      <c r="C18" s="37" t="s">
        <v>21</v>
      </c>
      <c r="D18" s="4">
        <v>90</v>
      </c>
      <c r="E18" s="104"/>
      <c r="F18" s="105"/>
      <c r="G18" s="102"/>
      <c r="H18" s="102"/>
      <c r="I18" s="102"/>
      <c r="J18" s="68"/>
      <c r="K18" s="70"/>
      <c r="L18" s="2" t="s">
        <v>47</v>
      </c>
    </row>
    <row r="19" spans="3:12" ht="15.75" x14ac:dyDescent="0.25">
      <c r="C19" s="37" t="s">
        <v>22</v>
      </c>
      <c r="D19" s="4">
        <v>60</v>
      </c>
      <c r="E19" s="104"/>
      <c r="F19" s="105"/>
      <c r="G19" s="102"/>
      <c r="H19" s="102"/>
      <c r="I19" s="102"/>
      <c r="J19" s="68"/>
      <c r="K19" s="70"/>
      <c r="L19" s="2" t="s">
        <v>47</v>
      </c>
    </row>
    <row r="20" spans="3:12" ht="15.75" x14ac:dyDescent="0.25">
      <c r="C20" s="37" t="s">
        <v>37</v>
      </c>
      <c r="D20" s="4">
        <v>130</v>
      </c>
      <c r="E20" s="104"/>
      <c r="F20" s="105"/>
      <c r="G20" s="102"/>
      <c r="H20" s="102"/>
      <c r="I20" s="102"/>
      <c r="J20" s="68"/>
      <c r="K20" s="70"/>
      <c r="L20" s="2" t="s">
        <v>47</v>
      </c>
    </row>
    <row r="21" spans="3:12" ht="15.75" x14ac:dyDescent="0.25">
      <c r="C21" s="37" t="s">
        <v>23</v>
      </c>
      <c r="D21" s="4">
        <v>450</v>
      </c>
      <c r="E21" s="104"/>
      <c r="F21" s="105"/>
      <c r="G21" s="102"/>
      <c r="H21" s="102"/>
      <c r="I21" s="102"/>
      <c r="J21" s="68"/>
      <c r="K21" s="70"/>
      <c r="L21" s="2" t="s">
        <v>47</v>
      </c>
    </row>
    <row r="22" spans="3:12" ht="15.75" x14ac:dyDescent="0.25">
      <c r="C22" s="37" t="s">
        <v>24</v>
      </c>
      <c r="D22" s="4">
        <v>500</v>
      </c>
      <c r="E22" s="104"/>
      <c r="F22" s="105"/>
      <c r="G22" s="102"/>
      <c r="H22" s="102"/>
      <c r="I22" s="102"/>
      <c r="J22" s="68"/>
      <c r="K22" s="70"/>
      <c r="L22" s="2" t="s">
        <v>47</v>
      </c>
    </row>
    <row r="23" spans="3:12" ht="15.75" x14ac:dyDescent="0.25">
      <c r="C23" s="37" t="s">
        <v>25</v>
      </c>
      <c r="D23" s="4">
        <v>450</v>
      </c>
      <c r="E23" s="104"/>
      <c r="F23" s="105"/>
      <c r="G23" s="102"/>
      <c r="H23" s="102"/>
      <c r="I23" s="102"/>
      <c r="J23" s="68"/>
      <c r="K23" s="70"/>
      <c r="L23" s="2" t="s">
        <v>47</v>
      </c>
    </row>
    <row r="24" spans="3:12" ht="15.75" x14ac:dyDescent="0.25">
      <c r="C24" s="37" t="s">
        <v>26</v>
      </c>
      <c r="D24" s="4">
        <v>80</v>
      </c>
      <c r="E24" s="104"/>
      <c r="F24" s="105"/>
      <c r="G24" s="102"/>
      <c r="H24" s="102"/>
      <c r="I24" s="102"/>
      <c r="J24" s="68"/>
      <c r="K24" s="70"/>
      <c r="L24" s="2" t="s">
        <v>47</v>
      </c>
    </row>
    <row r="25" spans="3:12" ht="15.75" x14ac:dyDescent="0.25">
      <c r="C25" s="37" t="s">
        <v>27</v>
      </c>
      <c r="D25" s="4">
        <v>650</v>
      </c>
      <c r="E25" s="104"/>
      <c r="F25" s="105"/>
      <c r="G25" s="102"/>
      <c r="H25" s="102"/>
      <c r="I25" s="102"/>
      <c r="J25" s="68"/>
      <c r="K25" s="70"/>
      <c r="L25" s="2" t="s">
        <v>47</v>
      </c>
    </row>
    <row r="26" spans="3:12" ht="15.75" x14ac:dyDescent="0.25">
      <c r="C26" s="37" t="s">
        <v>28</v>
      </c>
      <c r="D26" s="4">
        <v>750</v>
      </c>
      <c r="E26" s="104"/>
      <c r="F26" s="105"/>
      <c r="G26" s="102"/>
      <c r="H26" s="102"/>
      <c r="I26" s="102"/>
      <c r="J26" s="68"/>
      <c r="K26" s="70"/>
      <c r="L26" s="2" t="s">
        <v>47</v>
      </c>
    </row>
    <row r="27" spans="3:12" ht="15.75" x14ac:dyDescent="0.25">
      <c r="C27" s="37" t="s">
        <v>29</v>
      </c>
      <c r="D27" s="4">
        <v>60</v>
      </c>
      <c r="E27" s="104"/>
      <c r="F27" s="105"/>
      <c r="G27" s="102"/>
      <c r="H27" s="102"/>
      <c r="I27" s="102"/>
      <c r="J27" s="68"/>
      <c r="K27" s="70"/>
      <c r="L27" s="2" t="s">
        <v>47</v>
      </c>
    </row>
    <row r="28" spans="3:12" ht="15.75" x14ac:dyDescent="0.25">
      <c r="C28" s="37" t="s">
        <v>30</v>
      </c>
      <c r="D28" s="4">
        <v>100</v>
      </c>
      <c r="E28" s="104"/>
      <c r="F28" s="105"/>
      <c r="G28" s="102"/>
      <c r="H28" s="102"/>
      <c r="I28" s="102"/>
      <c r="J28" s="68"/>
      <c r="K28" s="70"/>
      <c r="L28" s="2" t="s">
        <v>47</v>
      </c>
    </row>
    <row r="29" spans="3:12" ht="15.75" x14ac:dyDescent="0.25">
      <c r="C29" s="37" t="s">
        <v>31</v>
      </c>
      <c r="D29" s="4">
        <v>30</v>
      </c>
      <c r="E29" s="104"/>
      <c r="F29" s="105"/>
      <c r="G29" s="102"/>
      <c r="H29" s="102"/>
      <c r="I29" s="102"/>
      <c r="J29" s="68"/>
      <c r="K29" s="70"/>
      <c r="L29" s="2" t="s">
        <v>47</v>
      </c>
    </row>
    <row r="30" spans="3:12" ht="15.75" x14ac:dyDescent="0.25">
      <c r="C30" s="37" t="s">
        <v>32</v>
      </c>
      <c r="D30" s="4">
        <v>100</v>
      </c>
      <c r="E30" s="104"/>
      <c r="F30" s="105"/>
      <c r="G30" s="102"/>
      <c r="H30" s="102"/>
      <c r="I30" s="102"/>
      <c r="J30" s="68"/>
      <c r="K30" s="70"/>
      <c r="L30" s="2" t="s">
        <v>47</v>
      </c>
    </row>
    <row r="31" spans="3:12" ht="15.75" x14ac:dyDescent="0.25">
      <c r="C31" s="37" t="s">
        <v>33</v>
      </c>
      <c r="D31" s="4">
        <v>25</v>
      </c>
      <c r="E31" s="104"/>
      <c r="F31" s="105"/>
      <c r="G31" s="102"/>
      <c r="H31" s="102"/>
      <c r="I31" s="102"/>
      <c r="J31" s="68"/>
      <c r="K31" s="70"/>
      <c r="L31" s="2" t="s">
        <v>47</v>
      </c>
    </row>
    <row r="32" spans="3:12" ht="15.75" x14ac:dyDescent="0.25">
      <c r="C32" s="37" t="s">
        <v>34</v>
      </c>
      <c r="D32" s="4">
        <v>45</v>
      </c>
      <c r="E32" s="104"/>
      <c r="F32" s="105"/>
      <c r="G32" s="102"/>
      <c r="H32" s="102"/>
      <c r="I32" s="102"/>
      <c r="J32" s="68"/>
      <c r="K32" s="70"/>
      <c r="L32" s="2" t="s">
        <v>47</v>
      </c>
    </row>
    <row r="33" spans="3:13" ht="15.75" x14ac:dyDescent="0.25">
      <c r="C33" s="37" t="s">
        <v>35</v>
      </c>
      <c r="D33" s="4">
        <v>100</v>
      </c>
      <c r="E33" s="104"/>
      <c r="F33" s="105"/>
      <c r="G33" s="102"/>
      <c r="H33" s="102"/>
      <c r="I33" s="102"/>
      <c r="J33" s="68"/>
      <c r="K33" s="70"/>
      <c r="L33" s="2" t="s">
        <v>47</v>
      </c>
    </row>
    <row r="34" spans="3:13" ht="15.75" x14ac:dyDescent="0.25">
      <c r="C34" s="37" t="s">
        <v>36</v>
      </c>
      <c r="D34" s="4">
        <v>55</v>
      </c>
      <c r="E34" s="104"/>
      <c r="F34" s="105"/>
      <c r="G34" s="102"/>
      <c r="H34" s="102"/>
      <c r="I34" s="102"/>
      <c r="J34" s="68"/>
      <c r="K34" s="70"/>
      <c r="L34" s="2" t="s">
        <v>47</v>
      </c>
      <c r="M34" t="s">
        <v>9</v>
      </c>
    </row>
    <row r="35" spans="3:13" x14ac:dyDescent="0.25">
      <c r="D35" s="17"/>
      <c r="E35" s="17"/>
    </row>
  </sheetData>
  <sheetProtection algorithmName="SHA-512" hashValue="0JWlldu0n1bM64cm26OexFac9ouyMpkGCMcTUDmuWYVL/aMBo9DNrV3QBtNIhxkcQkk+Y+Zmppmibo4o4pDeDg==" saltValue="K84mawj9QWtZCfYWY7D/Kw==" spinCount="100000" sheet="1" objects="1" scenarios="1"/>
  <mergeCells count="80">
    <mergeCell ref="D4:O7"/>
    <mergeCell ref="E9:F9"/>
    <mergeCell ref="E10:F10"/>
    <mergeCell ref="E11:F11"/>
    <mergeCell ref="E12:F12"/>
    <mergeCell ref="E24:F24"/>
    <mergeCell ref="E13:F13"/>
    <mergeCell ref="E14:F1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31:F31"/>
    <mergeCell ref="E32:F32"/>
    <mergeCell ref="E33:F33"/>
    <mergeCell ref="E34:F34"/>
    <mergeCell ref="G10:I10"/>
    <mergeCell ref="G11:I11"/>
    <mergeCell ref="G12:I12"/>
    <mergeCell ref="G13:I13"/>
    <mergeCell ref="G14:I14"/>
    <mergeCell ref="G15:I15"/>
    <mergeCell ref="E25:F25"/>
    <mergeCell ref="E26:F26"/>
    <mergeCell ref="E27:F27"/>
    <mergeCell ref="E28:F28"/>
    <mergeCell ref="E29:F29"/>
    <mergeCell ref="E30:F30"/>
    <mergeCell ref="G24:I24"/>
    <mergeCell ref="G25:I25"/>
    <mergeCell ref="G26:I26"/>
    <mergeCell ref="G27:I27"/>
    <mergeCell ref="G16:I16"/>
    <mergeCell ref="G17:I17"/>
    <mergeCell ref="G18:I18"/>
    <mergeCell ref="G19:I19"/>
    <mergeCell ref="G20:I20"/>
    <mergeCell ref="G21:I21"/>
    <mergeCell ref="G34:I34"/>
    <mergeCell ref="G9:I9"/>
    <mergeCell ref="J10:K10"/>
    <mergeCell ref="J11:K11"/>
    <mergeCell ref="J12:K12"/>
    <mergeCell ref="J13:K13"/>
    <mergeCell ref="J14:K14"/>
    <mergeCell ref="J15:K15"/>
    <mergeCell ref="G28:I28"/>
    <mergeCell ref="G29:I29"/>
    <mergeCell ref="G30:I30"/>
    <mergeCell ref="G31:I31"/>
    <mergeCell ref="G32:I32"/>
    <mergeCell ref="G33:I33"/>
    <mergeCell ref="G22:I22"/>
    <mergeCell ref="G23:I23"/>
    <mergeCell ref="J17:K17"/>
    <mergeCell ref="J18:K18"/>
    <mergeCell ref="J19:K19"/>
    <mergeCell ref="J21:K21"/>
    <mergeCell ref="J20:K20"/>
    <mergeCell ref="J34:K34"/>
    <mergeCell ref="J9:K9"/>
    <mergeCell ref="C8:O8"/>
    <mergeCell ref="J28:K28"/>
    <mergeCell ref="J29:K29"/>
    <mergeCell ref="J30:K30"/>
    <mergeCell ref="J31:K31"/>
    <mergeCell ref="J32:K32"/>
    <mergeCell ref="J33:K33"/>
    <mergeCell ref="J22:K22"/>
    <mergeCell ref="J23:K23"/>
    <mergeCell ref="J24:K24"/>
    <mergeCell ref="J25:K25"/>
    <mergeCell ref="J26:K26"/>
    <mergeCell ref="J27:K27"/>
    <mergeCell ref="J16:K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R38"/>
  <sheetViews>
    <sheetView zoomScale="90" zoomScaleNormal="90" workbookViewId="0">
      <selection activeCell="A2" sqref="A2:R7"/>
    </sheetView>
  </sheetViews>
  <sheetFormatPr defaultRowHeight="15" x14ac:dyDescent="0.25"/>
  <cols>
    <col min="1" max="1" width="16.42578125" customWidth="1"/>
    <col min="2" max="2" width="15" bestFit="1" customWidth="1"/>
    <col min="3" max="3" width="10.5703125" customWidth="1"/>
    <col min="4" max="4" width="10.140625" customWidth="1"/>
    <col min="5" max="5" width="11.140625" customWidth="1"/>
    <col min="6" max="6" width="9.85546875" customWidth="1"/>
    <col min="7" max="7" width="14" bestFit="1" customWidth="1"/>
    <col min="8" max="8" width="10.42578125" customWidth="1"/>
    <col min="9" max="9" width="11.5703125" customWidth="1"/>
    <col min="10" max="10" width="9.5703125" customWidth="1"/>
    <col min="11" max="11" width="10.7109375" customWidth="1"/>
    <col min="12" max="12" width="9.85546875" customWidth="1"/>
    <col min="13" max="13" width="9.28515625" bestFit="1" customWidth="1"/>
    <col min="14" max="14" width="10" customWidth="1"/>
    <col min="15" max="15" width="10.42578125" bestFit="1" customWidth="1"/>
    <col min="16" max="16" width="10.85546875" customWidth="1"/>
    <col min="18" max="18" width="18.5703125" bestFit="1" customWidth="1"/>
    <col min="20" max="20" width="9.140625" customWidth="1"/>
  </cols>
  <sheetData>
    <row r="2" spans="1:18" ht="15" customHeight="1" x14ac:dyDescent="0.25">
      <c r="A2" s="114" t="s">
        <v>88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spans="1:18" ht="15" customHeight="1" x14ac:dyDescent="0.25">
      <c r="A3" s="114"/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 spans="1:18" ht="15" customHeight="1" x14ac:dyDescent="0.25">
      <c r="A4" s="114"/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</row>
    <row r="5" spans="1:18" ht="15" customHeight="1" x14ac:dyDescent="0.25">
      <c r="A5" s="114"/>
      <c r="B5" s="114"/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4"/>
      <c r="R5" s="114"/>
    </row>
    <row r="6" spans="1:18" ht="15" customHeight="1" x14ac:dyDescent="0.25">
      <c r="A6" s="114"/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</row>
    <row r="7" spans="1:18" ht="15" customHeight="1" x14ac:dyDescent="0.25">
      <c r="A7" s="114"/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4"/>
    </row>
    <row r="8" spans="1:18" ht="21" x14ac:dyDescent="0.35">
      <c r="A8" s="115" t="s">
        <v>1</v>
      </c>
      <c r="B8" s="115"/>
      <c r="C8" s="115"/>
      <c r="D8" s="115"/>
      <c r="E8" s="115"/>
      <c r="F8" s="115"/>
      <c r="G8" s="115"/>
      <c r="H8" s="115"/>
      <c r="I8" s="115"/>
      <c r="J8" s="115"/>
      <c r="K8" s="115"/>
      <c r="L8" s="115"/>
      <c r="M8" s="115"/>
      <c r="N8" s="115"/>
      <c r="O8" s="115"/>
      <c r="P8" s="115"/>
      <c r="Q8" s="115"/>
      <c r="R8" s="115"/>
    </row>
    <row r="9" spans="1:18" ht="16.5" customHeight="1" thickBot="1" x14ac:dyDescent="0.3">
      <c r="A9" s="117"/>
      <c r="B9" s="117"/>
      <c r="C9" s="116" t="s">
        <v>38</v>
      </c>
      <c r="D9" s="116"/>
      <c r="E9" s="116" t="s">
        <v>38</v>
      </c>
      <c r="F9" s="116"/>
      <c r="G9" s="116" t="s">
        <v>38</v>
      </c>
      <c r="H9" s="116"/>
      <c r="I9" s="116" t="s">
        <v>38</v>
      </c>
      <c r="J9" s="116"/>
      <c r="K9" s="116" t="s">
        <v>38</v>
      </c>
      <c r="L9" s="116"/>
      <c r="M9" s="116" t="s">
        <v>38</v>
      </c>
      <c r="N9" s="116"/>
      <c r="O9" s="116" t="s">
        <v>38</v>
      </c>
      <c r="P9" s="116"/>
      <c r="Q9" s="120"/>
      <c r="R9" s="118" t="s">
        <v>61</v>
      </c>
    </row>
    <row r="10" spans="1:18" ht="15" customHeight="1" x14ac:dyDescent="0.25">
      <c r="A10" s="126" t="s">
        <v>2</v>
      </c>
      <c r="B10" s="127" t="s">
        <v>59</v>
      </c>
      <c r="C10" s="125" t="s">
        <v>3</v>
      </c>
      <c r="D10" s="122" t="s">
        <v>4</v>
      </c>
      <c r="E10" s="125" t="s">
        <v>5</v>
      </c>
      <c r="F10" s="122" t="s">
        <v>4</v>
      </c>
      <c r="G10" s="125" t="s">
        <v>6</v>
      </c>
      <c r="H10" s="122" t="s">
        <v>7</v>
      </c>
      <c r="I10" s="125" t="s">
        <v>8</v>
      </c>
      <c r="J10" s="122" t="s">
        <v>7</v>
      </c>
      <c r="K10" s="125" t="s">
        <v>10</v>
      </c>
      <c r="L10" s="122" t="s">
        <v>7</v>
      </c>
      <c r="M10" s="121" t="s">
        <v>11</v>
      </c>
      <c r="N10" s="122" t="s">
        <v>7</v>
      </c>
      <c r="O10" s="121" t="s">
        <v>12</v>
      </c>
      <c r="P10" s="122" t="s">
        <v>7</v>
      </c>
      <c r="Q10" s="120"/>
      <c r="R10" s="118"/>
    </row>
    <row r="11" spans="1:18" ht="15" customHeight="1" thickBot="1" x14ac:dyDescent="0.3">
      <c r="A11" s="126"/>
      <c r="B11" s="128"/>
      <c r="C11" s="125"/>
      <c r="D11" s="122"/>
      <c r="E11" s="125"/>
      <c r="F11" s="122"/>
      <c r="G11" s="125"/>
      <c r="H11" s="122"/>
      <c r="I11" s="125"/>
      <c r="J11" s="122"/>
      <c r="K11" s="125"/>
      <c r="L11" s="122"/>
      <c r="M11" s="121"/>
      <c r="N11" s="122"/>
      <c r="O11" s="121"/>
      <c r="P11" s="122"/>
      <c r="Q11" s="120"/>
      <c r="R11" s="119"/>
    </row>
    <row r="12" spans="1:18" ht="15.75" customHeight="1" x14ac:dyDescent="0.25">
      <c r="A12" s="21" t="s">
        <v>19</v>
      </c>
      <c r="B12" s="4">
        <v>55</v>
      </c>
      <c r="C12" s="19">
        <v>0</v>
      </c>
      <c r="D12" s="5">
        <f t="shared" ref="D12:D36" si="0">B12*C12</f>
        <v>0</v>
      </c>
      <c r="E12" s="19">
        <v>0</v>
      </c>
      <c r="F12" s="5">
        <f t="shared" ref="F12:F36" si="1">B12*E12</f>
        <v>0</v>
      </c>
      <c r="G12" s="19">
        <v>0</v>
      </c>
      <c r="H12" s="5">
        <f t="shared" ref="H12:H36" si="2">B12*G12</f>
        <v>0</v>
      </c>
      <c r="I12" s="19">
        <v>0</v>
      </c>
      <c r="J12" s="5">
        <f t="shared" ref="J12:J36" si="3">B12*I12</f>
        <v>0</v>
      </c>
      <c r="K12" s="19">
        <v>0</v>
      </c>
      <c r="L12" s="5">
        <f t="shared" ref="L12:L36" si="4">B12*K12</f>
        <v>0</v>
      </c>
      <c r="M12" s="19">
        <v>0</v>
      </c>
      <c r="N12" s="5">
        <f t="shared" ref="N12:N36" si="5">B12*M12</f>
        <v>0</v>
      </c>
      <c r="O12" s="19">
        <v>0</v>
      </c>
      <c r="P12" s="5">
        <f t="shared" ref="P12:P36" si="6">B12*O12</f>
        <v>0</v>
      </c>
      <c r="Q12" s="120"/>
      <c r="R12" s="6">
        <f>D12+F12+H12+J12+L12+N12+P12</f>
        <v>0</v>
      </c>
    </row>
    <row r="13" spans="1:18" ht="15.75" x14ac:dyDescent="0.25">
      <c r="A13" s="21" t="s">
        <v>18</v>
      </c>
      <c r="B13" s="4">
        <v>75</v>
      </c>
      <c r="C13" s="19">
        <v>0</v>
      </c>
      <c r="D13" s="5">
        <f t="shared" si="0"/>
        <v>0</v>
      </c>
      <c r="E13" s="19">
        <v>0</v>
      </c>
      <c r="F13" s="5">
        <f t="shared" si="1"/>
        <v>0</v>
      </c>
      <c r="G13" s="19">
        <v>0</v>
      </c>
      <c r="H13" s="5">
        <f t="shared" si="2"/>
        <v>0</v>
      </c>
      <c r="I13" s="19">
        <v>0</v>
      </c>
      <c r="J13" s="5">
        <f t="shared" si="3"/>
        <v>0</v>
      </c>
      <c r="K13" s="19">
        <v>0</v>
      </c>
      <c r="L13" s="5">
        <f t="shared" si="4"/>
        <v>0</v>
      </c>
      <c r="M13" s="19">
        <v>0</v>
      </c>
      <c r="N13" s="5">
        <f t="shared" si="5"/>
        <v>0</v>
      </c>
      <c r="O13" s="19">
        <v>0</v>
      </c>
      <c r="P13" s="5">
        <f t="shared" si="6"/>
        <v>0</v>
      </c>
      <c r="Q13" s="120"/>
      <c r="R13" s="6">
        <f>D13+F13+H13+J13+L13+N13+P13</f>
        <v>0</v>
      </c>
    </row>
    <row r="14" spans="1:18" ht="15.75" x14ac:dyDescent="0.25">
      <c r="A14" s="21" t="s">
        <v>13</v>
      </c>
      <c r="B14" s="4">
        <v>55</v>
      </c>
      <c r="C14" s="19">
        <v>0</v>
      </c>
      <c r="D14" s="5">
        <f t="shared" si="0"/>
        <v>0</v>
      </c>
      <c r="E14" s="19">
        <v>0</v>
      </c>
      <c r="F14" s="5">
        <f t="shared" si="1"/>
        <v>0</v>
      </c>
      <c r="G14" s="19">
        <v>0</v>
      </c>
      <c r="H14" s="5">
        <f t="shared" si="2"/>
        <v>0</v>
      </c>
      <c r="I14" s="19">
        <v>0</v>
      </c>
      <c r="J14" s="5">
        <f t="shared" si="3"/>
        <v>0</v>
      </c>
      <c r="K14" s="19">
        <v>0</v>
      </c>
      <c r="L14" s="5">
        <f t="shared" si="4"/>
        <v>0</v>
      </c>
      <c r="M14" s="19">
        <v>0</v>
      </c>
      <c r="N14" s="5">
        <f t="shared" si="5"/>
        <v>0</v>
      </c>
      <c r="O14" s="19">
        <v>0</v>
      </c>
      <c r="P14" s="5">
        <f t="shared" si="6"/>
        <v>0</v>
      </c>
      <c r="Q14" s="120"/>
      <c r="R14" s="6">
        <f>D14+F14+H14+J14+L14+N14+P14</f>
        <v>0</v>
      </c>
    </row>
    <row r="15" spans="1:18" ht="15.75" x14ac:dyDescent="0.25">
      <c r="A15" s="21" t="s">
        <v>14</v>
      </c>
      <c r="B15" s="4">
        <v>70</v>
      </c>
      <c r="C15" s="19">
        <v>0</v>
      </c>
      <c r="D15" s="5">
        <f>B15*C15</f>
        <v>0</v>
      </c>
      <c r="E15" s="19">
        <v>0</v>
      </c>
      <c r="F15" s="5">
        <f t="shared" si="1"/>
        <v>0</v>
      </c>
      <c r="G15" s="19">
        <v>0</v>
      </c>
      <c r="H15" s="5">
        <f t="shared" si="2"/>
        <v>0</v>
      </c>
      <c r="I15" s="19">
        <v>0</v>
      </c>
      <c r="J15" s="5">
        <f t="shared" si="3"/>
        <v>0</v>
      </c>
      <c r="K15" s="19">
        <v>0</v>
      </c>
      <c r="L15" s="5">
        <f t="shared" si="4"/>
        <v>0</v>
      </c>
      <c r="M15" s="19">
        <v>0</v>
      </c>
      <c r="N15" s="5">
        <f t="shared" si="5"/>
        <v>0</v>
      </c>
      <c r="O15" s="19">
        <v>0</v>
      </c>
      <c r="P15" s="5">
        <f t="shared" si="6"/>
        <v>0</v>
      </c>
      <c r="Q15" s="120"/>
      <c r="R15" s="6">
        <f>D15+F15+H15+J15+L15+N15+P15</f>
        <v>0</v>
      </c>
    </row>
    <row r="16" spans="1:18" ht="15.75" x14ac:dyDescent="0.25">
      <c r="A16" s="21" t="s">
        <v>15</v>
      </c>
      <c r="B16" s="4">
        <v>60</v>
      </c>
      <c r="C16" s="19">
        <v>0</v>
      </c>
      <c r="D16" s="5">
        <f t="shared" si="0"/>
        <v>0</v>
      </c>
      <c r="E16" s="19">
        <v>0</v>
      </c>
      <c r="F16" s="5">
        <f t="shared" si="1"/>
        <v>0</v>
      </c>
      <c r="G16" s="19">
        <v>0</v>
      </c>
      <c r="H16" s="5">
        <f t="shared" si="2"/>
        <v>0</v>
      </c>
      <c r="I16" s="19">
        <v>0</v>
      </c>
      <c r="J16" s="5">
        <f t="shared" si="3"/>
        <v>0</v>
      </c>
      <c r="K16" s="19">
        <v>0</v>
      </c>
      <c r="L16" s="5">
        <f t="shared" si="4"/>
        <v>0</v>
      </c>
      <c r="M16" s="19">
        <v>0</v>
      </c>
      <c r="N16" s="5">
        <f t="shared" si="5"/>
        <v>0</v>
      </c>
      <c r="O16" s="19">
        <v>0</v>
      </c>
      <c r="P16" s="5">
        <f t="shared" si="6"/>
        <v>0</v>
      </c>
      <c r="Q16" s="120"/>
      <c r="R16" s="6">
        <f>D16+F16+H16+J16+L16+N16+P16</f>
        <v>0</v>
      </c>
    </row>
    <row r="17" spans="1:18" ht="15.75" x14ac:dyDescent="0.25">
      <c r="A17" s="21" t="s">
        <v>16</v>
      </c>
      <c r="B17" s="4">
        <v>55</v>
      </c>
      <c r="C17" s="19">
        <v>0</v>
      </c>
      <c r="D17" s="5">
        <f t="shared" si="0"/>
        <v>0</v>
      </c>
      <c r="E17" s="19">
        <v>0</v>
      </c>
      <c r="F17" s="5">
        <f t="shared" si="1"/>
        <v>0</v>
      </c>
      <c r="G17" s="19">
        <v>0</v>
      </c>
      <c r="H17" s="5">
        <f t="shared" si="2"/>
        <v>0</v>
      </c>
      <c r="I17" s="19">
        <v>0</v>
      </c>
      <c r="J17" s="5">
        <f t="shared" si="3"/>
        <v>0</v>
      </c>
      <c r="K17" s="19">
        <v>0</v>
      </c>
      <c r="L17" s="5">
        <f t="shared" si="4"/>
        <v>0</v>
      </c>
      <c r="M17" s="19">
        <v>0</v>
      </c>
      <c r="N17" s="5">
        <f t="shared" si="5"/>
        <v>0</v>
      </c>
      <c r="O17" s="19">
        <v>0</v>
      </c>
      <c r="P17" s="5">
        <f t="shared" si="6"/>
        <v>0</v>
      </c>
      <c r="Q17" s="120"/>
      <c r="R17" s="6">
        <f>P17+N17+L17+J17+H17+F17+D17</f>
        <v>0</v>
      </c>
    </row>
    <row r="18" spans="1:18" ht="15.75" x14ac:dyDescent="0.25">
      <c r="A18" s="21" t="s">
        <v>17</v>
      </c>
      <c r="B18" s="4">
        <v>80</v>
      </c>
      <c r="C18" s="19">
        <v>0</v>
      </c>
      <c r="D18" s="5">
        <f t="shared" si="0"/>
        <v>0</v>
      </c>
      <c r="E18" s="19">
        <v>0</v>
      </c>
      <c r="F18" s="5">
        <f t="shared" si="1"/>
        <v>0</v>
      </c>
      <c r="G18" s="19">
        <v>0</v>
      </c>
      <c r="H18" s="5">
        <f t="shared" si="2"/>
        <v>0</v>
      </c>
      <c r="I18" s="19">
        <v>0</v>
      </c>
      <c r="J18" s="5">
        <f t="shared" si="3"/>
        <v>0</v>
      </c>
      <c r="K18" s="19">
        <v>0</v>
      </c>
      <c r="L18" s="5">
        <f t="shared" si="4"/>
        <v>0</v>
      </c>
      <c r="M18" s="19">
        <v>0</v>
      </c>
      <c r="N18" s="5">
        <f t="shared" si="5"/>
        <v>0</v>
      </c>
      <c r="O18" s="19">
        <v>0</v>
      </c>
      <c r="P18" s="5">
        <f t="shared" si="6"/>
        <v>0</v>
      </c>
      <c r="Q18" s="120"/>
      <c r="R18" s="6">
        <f>D18+F18+H18+J18+L18+N18+P18</f>
        <v>0</v>
      </c>
    </row>
    <row r="19" spans="1:18" ht="15.75" x14ac:dyDescent="0.25">
      <c r="A19" s="21" t="s">
        <v>20</v>
      </c>
      <c r="B19" s="4">
        <v>85</v>
      </c>
      <c r="C19" s="19">
        <v>0</v>
      </c>
      <c r="D19" s="5">
        <f t="shared" si="0"/>
        <v>0</v>
      </c>
      <c r="E19" s="19">
        <v>0</v>
      </c>
      <c r="F19" s="5">
        <f t="shared" si="1"/>
        <v>0</v>
      </c>
      <c r="G19" s="19">
        <v>0</v>
      </c>
      <c r="H19" s="5">
        <f t="shared" si="2"/>
        <v>0</v>
      </c>
      <c r="I19" s="19">
        <v>0</v>
      </c>
      <c r="J19" s="5">
        <f t="shared" si="3"/>
        <v>0</v>
      </c>
      <c r="K19" s="19">
        <v>0</v>
      </c>
      <c r="L19" s="5">
        <f t="shared" si="4"/>
        <v>0</v>
      </c>
      <c r="M19" s="19">
        <v>0</v>
      </c>
      <c r="N19" s="5">
        <f t="shared" si="5"/>
        <v>0</v>
      </c>
      <c r="O19" s="19">
        <v>0</v>
      </c>
      <c r="P19" s="5">
        <f t="shared" si="6"/>
        <v>0</v>
      </c>
      <c r="Q19" s="120"/>
      <c r="R19" s="6">
        <f>P19+N19+L19+J19+H19+F19+D19</f>
        <v>0</v>
      </c>
    </row>
    <row r="20" spans="1:18" ht="15.75" x14ac:dyDescent="0.25">
      <c r="A20" s="21" t="s">
        <v>21</v>
      </c>
      <c r="B20" s="4">
        <v>90</v>
      </c>
      <c r="C20" s="19">
        <v>0</v>
      </c>
      <c r="D20" s="5">
        <f t="shared" si="0"/>
        <v>0</v>
      </c>
      <c r="E20" s="19">
        <v>0</v>
      </c>
      <c r="F20" s="5">
        <f t="shared" si="1"/>
        <v>0</v>
      </c>
      <c r="G20" s="19">
        <v>0</v>
      </c>
      <c r="H20" s="5">
        <f t="shared" si="2"/>
        <v>0</v>
      </c>
      <c r="I20" s="19">
        <v>0</v>
      </c>
      <c r="J20" s="5">
        <f t="shared" si="3"/>
        <v>0</v>
      </c>
      <c r="K20" s="19">
        <v>0</v>
      </c>
      <c r="L20" s="5">
        <f t="shared" si="4"/>
        <v>0</v>
      </c>
      <c r="M20" s="19">
        <v>0</v>
      </c>
      <c r="N20" s="5">
        <f t="shared" si="5"/>
        <v>0</v>
      </c>
      <c r="O20" s="19">
        <v>0</v>
      </c>
      <c r="P20" s="5">
        <f t="shared" si="6"/>
        <v>0</v>
      </c>
      <c r="Q20" s="120"/>
      <c r="R20" s="6">
        <f>D20+F20+H20+J20+L20+N20+P20</f>
        <v>0</v>
      </c>
    </row>
    <row r="21" spans="1:18" ht="15.75" x14ac:dyDescent="0.25">
      <c r="A21" s="21" t="s">
        <v>22</v>
      </c>
      <c r="B21" s="4">
        <v>60</v>
      </c>
      <c r="C21" s="23">
        <v>0</v>
      </c>
      <c r="D21" s="5">
        <f t="shared" si="0"/>
        <v>0</v>
      </c>
      <c r="E21" s="19">
        <v>0</v>
      </c>
      <c r="F21" s="5">
        <f t="shared" si="1"/>
        <v>0</v>
      </c>
      <c r="G21" s="19">
        <v>0</v>
      </c>
      <c r="H21" s="5">
        <f t="shared" si="2"/>
        <v>0</v>
      </c>
      <c r="I21" s="19">
        <v>0</v>
      </c>
      <c r="J21" s="5">
        <f t="shared" si="3"/>
        <v>0</v>
      </c>
      <c r="K21" s="19">
        <v>0</v>
      </c>
      <c r="L21" s="5">
        <f t="shared" si="4"/>
        <v>0</v>
      </c>
      <c r="M21" s="19">
        <v>0</v>
      </c>
      <c r="N21" s="5">
        <f t="shared" si="5"/>
        <v>0</v>
      </c>
      <c r="O21" s="19">
        <v>0</v>
      </c>
      <c r="P21" s="5">
        <f t="shared" si="6"/>
        <v>0</v>
      </c>
      <c r="Q21" s="120"/>
      <c r="R21" s="6">
        <f>P21+N21+L21+J21+H21+F21+D21</f>
        <v>0</v>
      </c>
    </row>
    <row r="22" spans="1:18" ht="15.75" x14ac:dyDescent="0.25">
      <c r="A22" s="21" t="s">
        <v>37</v>
      </c>
      <c r="B22" s="4">
        <v>130</v>
      </c>
      <c r="C22" s="19">
        <v>0</v>
      </c>
      <c r="D22" s="5">
        <f t="shared" si="0"/>
        <v>0</v>
      </c>
      <c r="E22" s="19">
        <v>0</v>
      </c>
      <c r="F22" s="5">
        <f t="shared" si="1"/>
        <v>0</v>
      </c>
      <c r="G22" s="19">
        <v>0</v>
      </c>
      <c r="H22" s="5">
        <f t="shared" si="2"/>
        <v>0</v>
      </c>
      <c r="I22" s="19">
        <v>0</v>
      </c>
      <c r="J22" s="5">
        <f t="shared" si="3"/>
        <v>0</v>
      </c>
      <c r="K22" s="19">
        <v>0</v>
      </c>
      <c r="L22" s="5">
        <f t="shared" si="4"/>
        <v>0</v>
      </c>
      <c r="M22" s="19">
        <v>0</v>
      </c>
      <c r="N22" s="5">
        <f t="shared" si="5"/>
        <v>0</v>
      </c>
      <c r="O22" s="19">
        <v>0</v>
      </c>
      <c r="P22" s="5">
        <f t="shared" si="6"/>
        <v>0</v>
      </c>
      <c r="Q22" s="120"/>
      <c r="R22" s="6">
        <f>P22+N22+L22+J22+H22+F22+D22</f>
        <v>0</v>
      </c>
    </row>
    <row r="23" spans="1:18" ht="15.75" x14ac:dyDescent="0.25">
      <c r="A23" s="21" t="s">
        <v>64</v>
      </c>
      <c r="B23" s="4">
        <v>450</v>
      </c>
      <c r="C23" s="19">
        <v>0</v>
      </c>
      <c r="D23" s="5">
        <f t="shared" si="0"/>
        <v>0</v>
      </c>
      <c r="E23" s="19">
        <v>0</v>
      </c>
      <c r="F23" s="5">
        <f t="shared" si="1"/>
        <v>0</v>
      </c>
      <c r="G23" s="19">
        <v>0</v>
      </c>
      <c r="H23" s="5">
        <f t="shared" si="2"/>
        <v>0</v>
      </c>
      <c r="I23" s="19">
        <v>0</v>
      </c>
      <c r="J23" s="5">
        <f t="shared" si="3"/>
        <v>0</v>
      </c>
      <c r="K23" s="19">
        <v>0</v>
      </c>
      <c r="L23" s="5">
        <f t="shared" si="4"/>
        <v>0</v>
      </c>
      <c r="M23" s="19">
        <v>0</v>
      </c>
      <c r="N23" s="5">
        <f t="shared" si="5"/>
        <v>0</v>
      </c>
      <c r="O23" s="19">
        <v>0</v>
      </c>
      <c r="P23" s="5">
        <f t="shared" si="6"/>
        <v>0</v>
      </c>
      <c r="Q23" s="120"/>
      <c r="R23" s="6">
        <f>P23+N23+L23+J23+H23+F23+D23</f>
        <v>0</v>
      </c>
    </row>
    <row r="24" spans="1:18" ht="15.75" x14ac:dyDescent="0.25">
      <c r="A24" s="21" t="s">
        <v>24</v>
      </c>
      <c r="B24" s="4">
        <v>500</v>
      </c>
      <c r="C24" s="19">
        <v>0</v>
      </c>
      <c r="D24" s="5">
        <f t="shared" si="0"/>
        <v>0</v>
      </c>
      <c r="E24" s="19">
        <v>0</v>
      </c>
      <c r="F24" s="5">
        <f t="shared" si="1"/>
        <v>0</v>
      </c>
      <c r="G24" s="19">
        <v>0</v>
      </c>
      <c r="H24" s="5">
        <f t="shared" si="2"/>
        <v>0</v>
      </c>
      <c r="I24" s="19">
        <v>0</v>
      </c>
      <c r="J24" s="5">
        <f t="shared" si="3"/>
        <v>0</v>
      </c>
      <c r="K24" s="19">
        <v>0</v>
      </c>
      <c r="L24" s="5">
        <f t="shared" si="4"/>
        <v>0</v>
      </c>
      <c r="M24" s="19">
        <v>0</v>
      </c>
      <c r="N24" s="5">
        <f t="shared" si="5"/>
        <v>0</v>
      </c>
      <c r="O24" s="19">
        <v>0</v>
      </c>
      <c r="P24" s="5">
        <f t="shared" si="6"/>
        <v>0</v>
      </c>
      <c r="Q24" s="120"/>
      <c r="R24" s="6">
        <f>D24+F24+H24+J24+L24+N24+P24</f>
        <v>0</v>
      </c>
    </row>
    <row r="25" spans="1:18" ht="15.75" x14ac:dyDescent="0.25">
      <c r="A25" s="21" t="s">
        <v>25</v>
      </c>
      <c r="B25" s="4">
        <v>450</v>
      </c>
      <c r="C25" s="19">
        <v>0</v>
      </c>
      <c r="D25" s="5">
        <f t="shared" si="0"/>
        <v>0</v>
      </c>
      <c r="E25" s="19">
        <v>0</v>
      </c>
      <c r="F25" s="5">
        <f t="shared" si="1"/>
        <v>0</v>
      </c>
      <c r="G25" s="19">
        <v>0</v>
      </c>
      <c r="H25" s="5">
        <f t="shared" si="2"/>
        <v>0</v>
      </c>
      <c r="I25" s="19">
        <v>0</v>
      </c>
      <c r="J25" s="5">
        <f t="shared" si="3"/>
        <v>0</v>
      </c>
      <c r="K25" s="19">
        <v>0</v>
      </c>
      <c r="L25" s="5">
        <f t="shared" si="4"/>
        <v>0</v>
      </c>
      <c r="M25" s="19">
        <v>0</v>
      </c>
      <c r="N25" s="5">
        <f t="shared" si="5"/>
        <v>0</v>
      </c>
      <c r="O25" s="19">
        <v>0</v>
      </c>
      <c r="P25" s="5">
        <f t="shared" si="6"/>
        <v>0</v>
      </c>
      <c r="Q25" s="120"/>
      <c r="R25" s="6">
        <f>P25+N25+L25+J25+H25+F25+D25</f>
        <v>0</v>
      </c>
    </row>
    <row r="26" spans="1:18" ht="15.75" x14ac:dyDescent="0.25">
      <c r="A26" s="21" t="s">
        <v>26</v>
      </c>
      <c r="B26" s="4">
        <v>80</v>
      </c>
      <c r="C26" s="19">
        <v>0</v>
      </c>
      <c r="D26" s="5">
        <f t="shared" si="0"/>
        <v>0</v>
      </c>
      <c r="E26" s="19">
        <v>0</v>
      </c>
      <c r="F26" s="5">
        <f t="shared" si="1"/>
        <v>0</v>
      </c>
      <c r="G26" s="19">
        <v>0</v>
      </c>
      <c r="H26" s="5">
        <f t="shared" si="2"/>
        <v>0</v>
      </c>
      <c r="I26" s="19">
        <v>0</v>
      </c>
      <c r="J26" s="5">
        <f t="shared" si="3"/>
        <v>0</v>
      </c>
      <c r="K26" s="19">
        <v>0</v>
      </c>
      <c r="L26" s="5">
        <f t="shared" si="4"/>
        <v>0</v>
      </c>
      <c r="M26" s="19">
        <v>0</v>
      </c>
      <c r="N26" s="5">
        <f t="shared" si="5"/>
        <v>0</v>
      </c>
      <c r="O26" s="19">
        <v>0</v>
      </c>
      <c r="P26" s="5">
        <f t="shared" si="6"/>
        <v>0</v>
      </c>
      <c r="Q26" s="120"/>
      <c r="R26" s="6">
        <f>D26+F26+H26+J26+L26+N26+P26</f>
        <v>0</v>
      </c>
    </row>
    <row r="27" spans="1:18" ht="15.75" x14ac:dyDescent="0.25">
      <c r="A27" s="21" t="s">
        <v>27</v>
      </c>
      <c r="B27" s="4">
        <v>650</v>
      </c>
      <c r="C27" s="19">
        <v>0</v>
      </c>
      <c r="D27" s="5">
        <f t="shared" si="0"/>
        <v>0</v>
      </c>
      <c r="E27" s="19">
        <v>0</v>
      </c>
      <c r="F27" s="5">
        <f t="shared" si="1"/>
        <v>0</v>
      </c>
      <c r="G27" s="19">
        <v>0</v>
      </c>
      <c r="H27" s="5">
        <f t="shared" si="2"/>
        <v>0</v>
      </c>
      <c r="I27" s="19">
        <v>0</v>
      </c>
      <c r="J27" s="5">
        <f t="shared" si="3"/>
        <v>0</v>
      </c>
      <c r="K27" s="19">
        <v>0</v>
      </c>
      <c r="L27" s="5">
        <f t="shared" si="4"/>
        <v>0</v>
      </c>
      <c r="M27" s="19">
        <v>0</v>
      </c>
      <c r="N27" s="5">
        <f t="shared" si="5"/>
        <v>0</v>
      </c>
      <c r="O27" s="19">
        <v>0</v>
      </c>
      <c r="P27" s="5">
        <f t="shared" si="6"/>
        <v>0</v>
      </c>
      <c r="Q27" s="120"/>
      <c r="R27" s="6">
        <f>P27+N27+L27+J27+H27+F27+D27</f>
        <v>0</v>
      </c>
    </row>
    <row r="28" spans="1:18" ht="15.75" x14ac:dyDescent="0.25">
      <c r="A28" s="21" t="s">
        <v>28</v>
      </c>
      <c r="B28" s="4">
        <v>750</v>
      </c>
      <c r="C28" s="19">
        <v>0</v>
      </c>
      <c r="D28" s="5">
        <f t="shared" si="0"/>
        <v>0</v>
      </c>
      <c r="E28" s="19">
        <v>0</v>
      </c>
      <c r="F28" s="5">
        <f t="shared" si="1"/>
        <v>0</v>
      </c>
      <c r="G28" s="19">
        <v>0</v>
      </c>
      <c r="H28" s="5">
        <f t="shared" si="2"/>
        <v>0</v>
      </c>
      <c r="I28" s="19">
        <v>0</v>
      </c>
      <c r="J28" s="5">
        <f t="shared" si="3"/>
        <v>0</v>
      </c>
      <c r="K28" s="19">
        <v>0</v>
      </c>
      <c r="L28" s="5">
        <f t="shared" si="4"/>
        <v>0</v>
      </c>
      <c r="M28" s="19">
        <v>0</v>
      </c>
      <c r="N28" s="5">
        <f t="shared" si="5"/>
        <v>0</v>
      </c>
      <c r="O28" s="19">
        <v>0</v>
      </c>
      <c r="P28" s="5">
        <f t="shared" si="6"/>
        <v>0</v>
      </c>
      <c r="Q28" s="120"/>
      <c r="R28" s="6">
        <f>D28+F28+H28+J28+L28+N28+P28</f>
        <v>0</v>
      </c>
    </row>
    <row r="29" spans="1:18" ht="15.75" x14ac:dyDescent="0.25">
      <c r="A29" s="21" t="s">
        <v>29</v>
      </c>
      <c r="B29" s="4">
        <v>60</v>
      </c>
      <c r="C29" s="19">
        <v>0</v>
      </c>
      <c r="D29" s="5">
        <f t="shared" si="0"/>
        <v>0</v>
      </c>
      <c r="E29" s="19">
        <v>0</v>
      </c>
      <c r="F29" s="5">
        <f t="shared" si="1"/>
        <v>0</v>
      </c>
      <c r="G29" s="19">
        <v>0</v>
      </c>
      <c r="H29" s="5">
        <f t="shared" si="2"/>
        <v>0</v>
      </c>
      <c r="I29" s="19">
        <v>0</v>
      </c>
      <c r="J29" s="5">
        <f t="shared" si="3"/>
        <v>0</v>
      </c>
      <c r="K29" s="19">
        <v>0</v>
      </c>
      <c r="L29" s="5">
        <f t="shared" si="4"/>
        <v>0</v>
      </c>
      <c r="M29" s="19">
        <v>0</v>
      </c>
      <c r="N29" s="5">
        <f t="shared" si="5"/>
        <v>0</v>
      </c>
      <c r="O29" s="19">
        <v>0</v>
      </c>
      <c r="P29" s="5">
        <f t="shared" si="6"/>
        <v>0</v>
      </c>
      <c r="Q29" s="120"/>
      <c r="R29" s="6">
        <f>D29+F29+H29+J29+L29+N29+P29</f>
        <v>0</v>
      </c>
    </row>
    <row r="30" spans="1:18" ht="15.75" x14ac:dyDescent="0.25">
      <c r="A30" s="21" t="s">
        <v>30</v>
      </c>
      <c r="B30" s="4">
        <v>100</v>
      </c>
      <c r="C30" s="19">
        <v>0</v>
      </c>
      <c r="D30" s="5">
        <f t="shared" si="0"/>
        <v>0</v>
      </c>
      <c r="E30" s="19">
        <v>0</v>
      </c>
      <c r="F30" s="5">
        <f t="shared" si="1"/>
        <v>0</v>
      </c>
      <c r="G30" s="19">
        <v>0</v>
      </c>
      <c r="H30" s="5">
        <f t="shared" si="2"/>
        <v>0</v>
      </c>
      <c r="I30" s="19">
        <v>0</v>
      </c>
      <c r="J30" s="5">
        <f t="shared" si="3"/>
        <v>0</v>
      </c>
      <c r="K30" s="19">
        <v>0</v>
      </c>
      <c r="L30" s="5">
        <f t="shared" si="4"/>
        <v>0</v>
      </c>
      <c r="M30" s="19">
        <v>0</v>
      </c>
      <c r="N30" s="5">
        <f t="shared" si="5"/>
        <v>0</v>
      </c>
      <c r="O30" s="19">
        <v>0</v>
      </c>
      <c r="P30" s="5">
        <f t="shared" si="6"/>
        <v>0</v>
      </c>
      <c r="Q30" s="120"/>
      <c r="R30" s="6">
        <f>P30+N30+L30+J30+H30+F30+D30</f>
        <v>0</v>
      </c>
    </row>
    <row r="31" spans="1:18" ht="15.75" x14ac:dyDescent="0.25">
      <c r="A31" s="21" t="s">
        <v>31</v>
      </c>
      <c r="B31" s="4">
        <v>30</v>
      </c>
      <c r="C31" s="19">
        <v>0</v>
      </c>
      <c r="D31" s="5">
        <f t="shared" si="0"/>
        <v>0</v>
      </c>
      <c r="E31" s="19">
        <v>0</v>
      </c>
      <c r="F31" s="5">
        <f t="shared" si="1"/>
        <v>0</v>
      </c>
      <c r="G31" s="19">
        <v>0</v>
      </c>
      <c r="H31" s="5">
        <f t="shared" si="2"/>
        <v>0</v>
      </c>
      <c r="I31" s="19">
        <v>0</v>
      </c>
      <c r="J31" s="5">
        <f t="shared" si="3"/>
        <v>0</v>
      </c>
      <c r="K31" s="19">
        <v>0</v>
      </c>
      <c r="L31" s="5">
        <f t="shared" si="4"/>
        <v>0</v>
      </c>
      <c r="M31" s="19">
        <v>0</v>
      </c>
      <c r="N31" s="5">
        <f t="shared" si="5"/>
        <v>0</v>
      </c>
      <c r="O31" s="19">
        <v>0</v>
      </c>
      <c r="P31" s="5">
        <f t="shared" si="6"/>
        <v>0</v>
      </c>
      <c r="Q31" s="120"/>
      <c r="R31" s="6">
        <f>D31+F31+H31+J31+L31+N31+P31</f>
        <v>0</v>
      </c>
    </row>
    <row r="32" spans="1:18" ht="15.75" x14ac:dyDescent="0.25">
      <c r="A32" s="21" t="s">
        <v>32</v>
      </c>
      <c r="B32" s="4">
        <v>100</v>
      </c>
      <c r="C32" s="19">
        <v>0</v>
      </c>
      <c r="D32" s="5">
        <f t="shared" si="0"/>
        <v>0</v>
      </c>
      <c r="E32" s="19">
        <v>0</v>
      </c>
      <c r="F32" s="5">
        <f t="shared" si="1"/>
        <v>0</v>
      </c>
      <c r="G32" s="19">
        <v>0</v>
      </c>
      <c r="H32" s="5">
        <f t="shared" si="2"/>
        <v>0</v>
      </c>
      <c r="I32" s="19">
        <v>0</v>
      </c>
      <c r="J32" s="5">
        <f t="shared" si="3"/>
        <v>0</v>
      </c>
      <c r="K32" s="19">
        <v>0</v>
      </c>
      <c r="L32" s="5">
        <f t="shared" si="4"/>
        <v>0</v>
      </c>
      <c r="M32" s="19">
        <v>0</v>
      </c>
      <c r="N32" s="5">
        <f t="shared" si="5"/>
        <v>0</v>
      </c>
      <c r="O32" s="19">
        <v>0</v>
      </c>
      <c r="P32" s="5">
        <f t="shared" si="6"/>
        <v>0</v>
      </c>
      <c r="Q32" s="120"/>
      <c r="R32" s="6">
        <f>P32+N32+L32+J32+H32+F32+D32</f>
        <v>0</v>
      </c>
    </row>
    <row r="33" spans="1:18" ht="15.75" x14ac:dyDescent="0.25">
      <c r="A33" s="21" t="s">
        <v>33</v>
      </c>
      <c r="B33" s="4">
        <v>25</v>
      </c>
      <c r="C33" s="19">
        <v>0</v>
      </c>
      <c r="D33" s="5">
        <f t="shared" si="0"/>
        <v>0</v>
      </c>
      <c r="E33" s="19">
        <v>0</v>
      </c>
      <c r="F33" s="5">
        <f t="shared" si="1"/>
        <v>0</v>
      </c>
      <c r="G33" s="19">
        <v>0</v>
      </c>
      <c r="H33" s="5">
        <f t="shared" si="2"/>
        <v>0</v>
      </c>
      <c r="I33" s="19">
        <v>0</v>
      </c>
      <c r="J33" s="5">
        <f t="shared" si="3"/>
        <v>0</v>
      </c>
      <c r="K33" s="19">
        <v>0</v>
      </c>
      <c r="L33" s="5">
        <f t="shared" si="4"/>
        <v>0</v>
      </c>
      <c r="M33" s="19">
        <v>0</v>
      </c>
      <c r="N33" s="5">
        <f t="shared" si="5"/>
        <v>0</v>
      </c>
      <c r="O33" s="19">
        <v>0</v>
      </c>
      <c r="P33" s="5">
        <f t="shared" si="6"/>
        <v>0</v>
      </c>
      <c r="Q33" s="120"/>
      <c r="R33" s="6">
        <f>D33+F33+H33+J33+L33+N33+P33</f>
        <v>0</v>
      </c>
    </row>
    <row r="34" spans="1:18" ht="15.75" x14ac:dyDescent="0.25">
      <c r="A34" s="21" t="s">
        <v>34</v>
      </c>
      <c r="B34" s="4">
        <v>45</v>
      </c>
      <c r="C34" s="19">
        <v>0</v>
      </c>
      <c r="D34" s="5">
        <f t="shared" si="0"/>
        <v>0</v>
      </c>
      <c r="E34" s="19">
        <v>0</v>
      </c>
      <c r="F34" s="5">
        <f t="shared" si="1"/>
        <v>0</v>
      </c>
      <c r="G34" s="19">
        <v>0</v>
      </c>
      <c r="H34" s="5">
        <f t="shared" si="2"/>
        <v>0</v>
      </c>
      <c r="I34" s="19">
        <v>0</v>
      </c>
      <c r="J34" s="5">
        <f t="shared" si="3"/>
        <v>0</v>
      </c>
      <c r="K34" s="19">
        <v>1</v>
      </c>
      <c r="L34" s="5">
        <f t="shared" si="4"/>
        <v>45</v>
      </c>
      <c r="M34" s="19">
        <v>0</v>
      </c>
      <c r="N34" s="5">
        <f t="shared" si="5"/>
        <v>0</v>
      </c>
      <c r="O34" s="19">
        <v>0</v>
      </c>
      <c r="P34" s="5">
        <f t="shared" si="6"/>
        <v>0</v>
      </c>
      <c r="Q34" s="120"/>
      <c r="R34" s="6">
        <f>P34+N34+L34+J34+H34+F34+D34</f>
        <v>45</v>
      </c>
    </row>
    <row r="35" spans="1:18" ht="15.75" x14ac:dyDescent="0.25">
      <c r="A35" s="21" t="s">
        <v>35</v>
      </c>
      <c r="B35" s="4">
        <v>100</v>
      </c>
      <c r="C35" s="20">
        <v>0</v>
      </c>
      <c r="D35" s="5">
        <f t="shared" si="0"/>
        <v>0</v>
      </c>
      <c r="E35" s="19">
        <v>1</v>
      </c>
      <c r="F35" s="5">
        <f t="shared" si="1"/>
        <v>100</v>
      </c>
      <c r="G35" s="19">
        <v>0</v>
      </c>
      <c r="H35" s="5">
        <f t="shared" si="2"/>
        <v>0</v>
      </c>
      <c r="I35" s="19">
        <v>1</v>
      </c>
      <c r="J35" s="5">
        <f t="shared" si="3"/>
        <v>100</v>
      </c>
      <c r="K35" s="19">
        <v>0</v>
      </c>
      <c r="L35" s="5">
        <f t="shared" si="4"/>
        <v>0</v>
      </c>
      <c r="M35" s="19">
        <v>0</v>
      </c>
      <c r="N35" s="5">
        <f t="shared" si="5"/>
        <v>0</v>
      </c>
      <c r="O35" s="19">
        <v>1</v>
      </c>
      <c r="P35" s="5">
        <f t="shared" si="6"/>
        <v>100</v>
      </c>
      <c r="Q35" s="120"/>
      <c r="R35" s="6">
        <f>D35+F35+H35+J35+L35+N35+P35</f>
        <v>300</v>
      </c>
    </row>
    <row r="36" spans="1:18" ht="15.75" x14ac:dyDescent="0.25">
      <c r="A36" s="21" t="s">
        <v>36</v>
      </c>
      <c r="B36" s="7">
        <v>55</v>
      </c>
      <c r="C36" s="19">
        <v>1</v>
      </c>
      <c r="D36" s="8">
        <f t="shared" si="0"/>
        <v>55</v>
      </c>
      <c r="E36" s="19">
        <v>0</v>
      </c>
      <c r="F36" s="5">
        <f t="shared" si="1"/>
        <v>0</v>
      </c>
      <c r="G36" s="19">
        <v>1</v>
      </c>
      <c r="H36" s="5">
        <f t="shared" si="2"/>
        <v>55</v>
      </c>
      <c r="I36" s="19">
        <v>0</v>
      </c>
      <c r="J36" s="5">
        <f t="shared" si="3"/>
        <v>0</v>
      </c>
      <c r="K36" s="19">
        <v>0</v>
      </c>
      <c r="L36" s="5">
        <f t="shared" si="4"/>
        <v>0</v>
      </c>
      <c r="M36" s="19">
        <v>1</v>
      </c>
      <c r="N36" s="5">
        <f t="shared" si="5"/>
        <v>55</v>
      </c>
      <c r="O36" s="20">
        <v>0</v>
      </c>
      <c r="P36" s="5">
        <f t="shared" si="6"/>
        <v>0</v>
      </c>
      <c r="Q36" s="120"/>
      <c r="R36" s="6">
        <f>P36+N36+L36+J36+H36+F36+D36</f>
        <v>165</v>
      </c>
    </row>
    <row r="37" spans="1:18" ht="15.75" x14ac:dyDescent="0.25">
      <c r="A37" s="123" t="s">
        <v>89</v>
      </c>
      <c r="B37" s="123"/>
      <c r="C37" s="9"/>
      <c r="D37" s="113">
        <f>D12+D13+D14+D15+D16+D17+D18+D19+D20+D21+D22+D23+D24+D25+D26+D27+D28+D29+D30+D31+D32+D33+D34+D35+D36</f>
        <v>55</v>
      </c>
      <c r="E37" s="9"/>
      <c r="F37" s="113">
        <f>F12+F13+F14+F15+F16+F17+F18+F19+F20+F21+F22+F23+F24+F25+F26+F27+F28+F29+F30+F31+F32+F33+F34+F35+F36</f>
        <v>100</v>
      </c>
      <c r="G37" s="9"/>
      <c r="H37" s="113">
        <f>H12+H13+H14+H15+H16+H17+H18+H19+H20+H21+H22+H23+H24+H25+H26+H27+H28+H29+H30+H31+H32+H33+H34+H35+H36</f>
        <v>55</v>
      </c>
      <c r="I37" s="9">
        <v>0</v>
      </c>
      <c r="J37" s="113">
        <f>J12+J13+J14+J15+J16+J17+J18+J19+J20+J21+J22+J23+J24+J25+J26+J27+J28+J29+J30+J31+J32+J33+J34+J35+J36</f>
        <v>100</v>
      </c>
      <c r="K37" s="9"/>
      <c r="L37" s="113">
        <f>L12+L13+L14+L15+L16+L17+L18+L19+L20+L21+L22+L23+L24+L25+L26+L27+L28+L29+L30+L31+L32+L33+L34+L35+L36</f>
        <v>45</v>
      </c>
      <c r="M37" s="9"/>
      <c r="N37" s="110">
        <f>N12+N13+N14+N15+N16+N17+N18+N19+N20+N21+N22+N23+N24+N25+N26+N27+N28+N29+N30+N31+N32+N33+N34+N35+N36</f>
        <v>55</v>
      </c>
      <c r="O37" s="9"/>
      <c r="P37" s="111">
        <f>P12+P13+P14+P15+P16+P17+P18+P19+P20+P21+P22+P23+P24+P25+P26+P27+P28+P29+P30+P31+P32+P33+P34+P35+P36</f>
        <v>100</v>
      </c>
      <c r="Q37" s="120"/>
      <c r="R37" s="112">
        <f>D37+F37+H37+J37+L37+N37+P37</f>
        <v>510</v>
      </c>
    </row>
    <row r="38" spans="1:18" ht="15.75" x14ac:dyDescent="0.25">
      <c r="A38" s="124"/>
      <c r="B38" s="124"/>
      <c r="C38" s="10"/>
      <c r="D38" s="113"/>
      <c r="E38" s="10"/>
      <c r="F38" s="113"/>
      <c r="G38" s="10"/>
      <c r="H38" s="113"/>
      <c r="I38" s="10"/>
      <c r="J38" s="113"/>
      <c r="K38" s="10"/>
      <c r="L38" s="113"/>
      <c r="M38" s="10"/>
      <c r="N38" s="110"/>
      <c r="O38" s="9"/>
      <c r="P38" s="111"/>
      <c r="Q38" s="120"/>
      <c r="R38" s="112"/>
    </row>
  </sheetData>
  <sheetProtection algorithmName="SHA-512" hashValue="QnjAeKi/Gb07xXB8XxYhg+UeuPYhj/UpTuyz/esLXDUoT7emlCv89J9eB/xuJkTuZis8TizwuQURTBCONS4keg==" saltValue="7vlN0ayCEmLoEBwY4NizGw==" spinCount="100000" sheet="1" objects="1" scenarios="1"/>
  <mergeCells count="37">
    <mergeCell ref="J10:J11"/>
    <mergeCell ref="L10:L11"/>
    <mergeCell ref="K10:K11"/>
    <mergeCell ref="H37:H38"/>
    <mergeCell ref="L37:L38"/>
    <mergeCell ref="M10:M11"/>
    <mergeCell ref="N10:N11"/>
    <mergeCell ref="O10:O11"/>
    <mergeCell ref="P10:P11"/>
    <mergeCell ref="A37:B38"/>
    <mergeCell ref="D37:D38"/>
    <mergeCell ref="F37:F38"/>
    <mergeCell ref="G10:G11"/>
    <mergeCell ref="H10:H11"/>
    <mergeCell ref="A10:A11"/>
    <mergeCell ref="C10:C11"/>
    <mergeCell ref="D10:D11"/>
    <mergeCell ref="E10:E11"/>
    <mergeCell ref="F10:F11"/>
    <mergeCell ref="B10:B11"/>
    <mergeCell ref="I10:I11"/>
    <mergeCell ref="N37:N38"/>
    <mergeCell ref="P37:P38"/>
    <mergeCell ref="R37:R38"/>
    <mergeCell ref="J37:J38"/>
    <mergeCell ref="A2:R7"/>
    <mergeCell ref="A8:R8"/>
    <mergeCell ref="I9:J9"/>
    <mergeCell ref="K9:L9"/>
    <mergeCell ref="M9:N9"/>
    <mergeCell ref="O9:P9"/>
    <mergeCell ref="A9:B9"/>
    <mergeCell ref="C9:D9"/>
    <mergeCell ref="E9:F9"/>
    <mergeCell ref="G9:H9"/>
    <mergeCell ref="R9:R11"/>
    <mergeCell ref="Q9:Q38"/>
  </mergeCells>
  <pageMargins left="0.7" right="0.7" top="0.75" bottom="0.75" header="0.3" footer="0.3"/>
  <pageSetup paperSize="9" orientation="portrait" r:id="rId1"/>
  <ignoredErrors>
    <ignoredError sqref="N23" evalError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2:O38"/>
  <sheetViews>
    <sheetView workbookViewId="0">
      <selection activeCell="F27" sqref="F27"/>
    </sheetView>
  </sheetViews>
  <sheetFormatPr defaultRowHeight="15" x14ac:dyDescent="0.25"/>
  <cols>
    <col min="4" max="4" width="7.28515625" customWidth="1"/>
    <col min="5" max="5" width="16.28515625" customWidth="1"/>
    <col min="6" max="6" width="10" customWidth="1"/>
    <col min="7" max="7" width="14" customWidth="1"/>
    <col min="8" max="8" width="15.28515625" customWidth="1"/>
    <col min="13" max="13" width="14" customWidth="1"/>
  </cols>
  <sheetData>
    <row r="2" spans="3:13" x14ac:dyDescent="0.25">
      <c r="C2" s="133" t="s">
        <v>55</v>
      </c>
      <c r="D2" s="133"/>
      <c r="E2" s="133"/>
      <c r="F2" s="133"/>
      <c r="G2" s="133"/>
      <c r="H2" s="133"/>
      <c r="I2" s="133"/>
      <c r="J2" s="133"/>
      <c r="K2" s="133"/>
      <c r="L2" s="133"/>
      <c r="M2" s="133"/>
    </row>
    <row r="3" spans="3:13" x14ac:dyDescent="0.25"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</row>
    <row r="4" spans="3:13" x14ac:dyDescent="0.25"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</row>
    <row r="5" spans="3:13" x14ac:dyDescent="0.25"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</row>
    <row r="6" spans="3:13" x14ac:dyDescent="0.25"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</row>
    <row r="7" spans="3:13" x14ac:dyDescent="0.25">
      <c r="C7" s="133"/>
      <c r="D7" s="133"/>
      <c r="E7" s="133"/>
      <c r="F7" s="133"/>
      <c r="G7" s="133"/>
      <c r="H7" s="133"/>
      <c r="I7" s="133"/>
      <c r="J7" s="133"/>
      <c r="K7" s="133"/>
      <c r="L7" s="133"/>
      <c r="M7" s="133"/>
    </row>
    <row r="8" spans="3:13" x14ac:dyDescent="0.25">
      <c r="C8" s="135"/>
      <c r="D8" s="135"/>
      <c r="E8" s="135"/>
      <c r="F8" s="135"/>
      <c r="G8" s="135"/>
      <c r="H8" s="135"/>
      <c r="I8" s="135"/>
      <c r="J8" s="135"/>
      <c r="K8" s="135"/>
      <c r="L8" s="135"/>
      <c r="M8" s="135"/>
    </row>
    <row r="9" spans="3:13" ht="18" x14ac:dyDescent="0.25">
      <c r="C9" s="138" t="s">
        <v>86</v>
      </c>
      <c r="D9" s="138"/>
      <c r="E9" s="138"/>
      <c r="F9" s="138"/>
      <c r="G9" s="138"/>
      <c r="H9" s="138"/>
      <c r="I9" s="138"/>
      <c r="J9" s="138"/>
      <c r="K9" s="138"/>
      <c r="L9" s="138"/>
      <c r="M9" s="138"/>
    </row>
    <row r="10" spans="3:13" ht="15.75" x14ac:dyDescent="0.25">
      <c r="C10" s="139" t="s">
        <v>87</v>
      </c>
      <c r="D10" s="139"/>
      <c r="E10" s="139"/>
      <c r="F10" s="139"/>
      <c r="G10" s="139"/>
      <c r="H10" s="139"/>
      <c r="I10" s="139"/>
      <c r="J10" s="139"/>
      <c r="K10" s="139"/>
      <c r="L10" s="139"/>
      <c r="M10" s="139"/>
    </row>
    <row r="11" spans="3:13" ht="15" customHeight="1" x14ac:dyDescent="0.25">
      <c r="C11" s="131" t="s">
        <v>66</v>
      </c>
      <c r="D11" s="132"/>
      <c r="E11" s="134" t="s">
        <v>2</v>
      </c>
      <c r="F11" s="136" t="s">
        <v>62</v>
      </c>
      <c r="G11" s="136" t="s">
        <v>63</v>
      </c>
      <c r="H11" s="137" t="s">
        <v>60</v>
      </c>
      <c r="I11" s="140" t="s">
        <v>65</v>
      </c>
      <c r="J11" s="141"/>
      <c r="K11" s="141"/>
      <c r="L11" s="141"/>
      <c r="M11" s="141"/>
    </row>
    <row r="12" spans="3:13" ht="15" customHeight="1" x14ac:dyDescent="0.25">
      <c r="C12" s="131"/>
      <c r="D12" s="132"/>
      <c r="E12" s="134"/>
      <c r="F12" s="136"/>
      <c r="G12" s="136"/>
      <c r="H12" s="137"/>
      <c r="I12" s="140"/>
      <c r="J12" s="141"/>
      <c r="K12" s="141"/>
      <c r="L12" s="141"/>
      <c r="M12" s="141"/>
    </row>
    <row r="13" spans="3:13" ht="15.75" x14ac:dyDescent="0.25">
      <c r="C13" s="131"/>
      <c r="D13" s="132"/>
      <c r="E13" s="21" t="s">
        <v>19</v>
      </c>
      <c r="F13" s="22">
        <v>400</v>
      </c>
      <c r="G13" s="48">
        <f>SUM(Vendas!C12, Vendas!E12, Vendas!G12, Vendas!I12, Vendas!K12, Vendas!M12, Vendas!O12)</f>
        <v>0</v>
      </c>
      <c r="H13" s="49">
        <f>F13-G13</f>
        <v>400</v>
      </c>
      <c r="I13" s="129" t="s">
        <v>85</v>
      </c>
      <c r="J13" s="130"/>
      <c r="K13" s="130"/>
      <c r="L13" s="130"/>
      <c r="M13" s="130"/>
    </row>
    <row r="14" spans="3:13" ht="15.75" x14ac:dyDescent="0.25">
      <c r="C14" s="131"/>
      <c r="D14" s="132"/>
      <c r="E14" s="21" t="s">
        <v>18</v>
      </c>
      <c r="F14" s="22">
        <v>300</v>
      </c>
      <c r="G14" s="48">
        <f>SUM(Vendas!C13, Vendas!E13, Vendas!G13, Vendas!I13, Vendas!K13, Vendas!M13, Vendas!O13)</f>
        <v>0</v>
      </c>
      <c r="H14" s="49">
        <f t="shared" ref="H14:H36" si="0">F14-G14</f>
        <v>300</v>
      </c>
      <c r="I14" s="129"/>
      <c r="J14" s="130"/>
      <c r="K14" s="130"/>
      <c r="L14" s="130"/>
      <c r="M14" s="130"/>
    </row>
    <row r="15" spans="3:13" ht="15.75" x14ac:dyDescent="0.25">
      <c r="C15" s="131"/>
      <c r="D15" s="132"/>
      <c r="E15" s="21" t="s">
        <v>13</v>
      </c>
      <c r="F15" s="22">
        <v>340</v>
      </c>
      <c r="G15" s="48">
        <f>SUM(Vendas!C14, Vendas!E14, Vendas!G14, Vendas!I14, Vendas!K14, Vendas!M14, Vendas!O14)</f>
        <v>0</v>
      </c>
      <c r="H15" s="49">
        <f t="shared" si="0"/>
        <v>340</v>
      </c>
      <c r="I15" s="129"/>
      <c r="J15" s="130"/>
      <c r="K15" s="130"/>
      <c r="L15" s="130"/>
      <c r="M15" s="130"/>
    </row>
    <row r="16" spans="3:13" ht="15.75" x14ac:dyDescent="0.25">
      <c r="C16" s="131"/>
      <c r="D16" s="132"/>
      <c r="E16" s="21" t="s">
        <v>14</v>
      </c>
      <c r="F16" s="22">
        <v>230</v>
      </c>
      <c r="G16" s="48">
        <f>SUM(Vendas!C15, Vendas!E15, Vendas!G15, Vendas!I15, Vendas!K15, Vendas!M15, Vendas!O15)</f>
        <v>0</v>
      </c>
      <c r="H16" s="49">
        <f t="shared" si="0"/>
        <v>230</v>
      </c>
      <c r="I16" s="129"/>
      <c r="J16" s="130"/>
      <c r="K16" s="130"/>
      <c r="L16" s="130"/>
      <c r="M16" s="130"/>
    </row>
    <row r="17" spans="3:15" ht="15.75" x14ac:dyDescent="0.25">
      <c r="C17" s="131"/>
      <c r="D17" s="132"/>
      <c r="E17" s="21" t="s">
        <v>15</v>
      </c>
      <c r="F17" s="22">
        <v>300</v>
      </c>
      <c r="G17" s="48">
        <f>SUM(Vendas!C16, Vendas!E16, Vendas!G16, Vendas!I16, Vendas!K16, Vendas!M16, Vendas!O16)</f>
        <v>0</v>
      </c>
      <c r="H17" s="49">
        <f t="shared" si="0"/>
        <v>300</v>
      </c>
      <c r="I17" s="129"/>
      <c r="J17" s="130"/>
      <c r="K17" s="130"/>
      <c r="L17" s="130"/>
      <c r="M17" s="130"/>
    </row>
    <row r="18" spans="3:15" ht="15.75" x14ac:dyDescent="0.25">
      <c r="C18" s="131"/>
      <c r="D18" s="132"/>
      <c r="E18" s="21" t="s">
        <v>16</v>
      </c>
      <c r="F18" s="22">
        <v>200</v>
      </c>
      <c r="G18" s="48">
        <f>SUM(Vendas!C17, Vendas!E17, Vendas!G17, Vendas!I17, Vendas!K17, Vendas!M17, Vendas!O17)</f>
        <v>0</v>
      </c>
      <c r="H18" s="49">
        <f t="shared" si="0"/>
        <v>200</v>
      </c>
      <c r="I18" s="129"/>
      <c r="J18" s="130"/>
      <c r="K18" s="130"/>
      <c r="L18" s="130"/>
      <c r="M18" s="130"/>
    </row>
    <row r="19" spans="3:15" ht="15.75" x14ac:dyDescent="0.25">
      <c r="C19" s="131"/>
      <c r="D19" s="132"/>
      <c r="E19" s="21" t="s">
        <v>17</v>
      </c>
      <c r="F19" s="22">
        <v>240</v>
      </c>
      <c r="G19" s="48">
        <f>SUM(Vendas!C18, Vendas!E18, Vendas!G18, Vendas!I18, Vendas!K18, Vendas!M18, Vendas!O18)</f>
        <v>0</v>
      </c>
      <c r="H19" s="49">
        <f t="shared" si="0"/>
        <v>240</v>
      </c>
      <c r="I19" s="129"/>
      <c r="J19" s="130"/>
      <c r="K19" s="130"/>
      <c r="L19" s="130"/>
      <c r="M19" s="130"/>
      <c r="N19" t="s">
        <v>9</v>
      </c>
    </row>
    <row r="20" spans="3:15" ht="15.75" x14ac:dyDescent="0.25">
      <c r="C20" s="131"/>
      <c r="D20" s="132"/>
      <c r="E20" s="21" t="s">
        <v>20</v>
      </c>
      <c r="F20" s="22">
        <v>300</v>
      </c>
      <c r="G20" s="48">
        <f>SUM(Vendas!C19, Vendas!E19, Vendas!G19, Vendas!I19, Vendas!K19, Vendas!M19, Vendas!O19)</f>
        <v>0</v>
      </c>
      <c r="H20" s="49">
        <f t="shared" si="0"/>
        <v>300</v>
      </c>
      <c r="I20" s="129"/>
      <c r="J20" s="130"/>
      <c r="K20" s="130"/>
      <c r="L20" s="130"/>
      <c r="M20" s="130"/>
    </row>
    <row r="21" spans="3:15" ht="15.75" x14ac:dyDescent="0.25">
      <c r="C21" s="131"/>
      <c r="D21" s="132"/>
      <c r="E21" s="21" t="s">
        <v>21</v>
      </c>
      <c r="F21" s="22">
        <v>200</v>
      </c>
      <c r="G21" s="48">
        <f>SUM(Vendas!C20, Vendas!E20, Vendas!G20, Vendas!I20, Vendas!K20, Vendas!M20, Vendas!O20)</f>
        <v>0</v>
      </c>
      <c r="H21" s="49">
        <f t="shared" si="0"/>
        <v>200</v>
      </c>
      <c r="I21" s="129"/>
      <c r="J21" s="130"/>
      <c r="K21" s="130"/>
      <c r="L21" s="130"/>
      <c r="M21" s="130"/>
    </row>
    <row r="22" spans="3:15" ht="15.75" x14ac:dyDescent="0.25">
      <c r="C22" s="131"/>
      <c r="D22" s="132"/>
      <c r="E22" s="21" t="s">
        <v>22</v>
      </c>
      <c r="F22" s="22">
        <v>234</v>
      </c>
      <c r="G22" s="48">
        <f>SUM(Vendas!C21, Vendas!E21, Vendas!G21, Vendas!I21, Vendas!K21, Vendas!M21, Vendas!O21)</f>
        <v>0</v>
      </c>
      <c r="H22" s="49">
        <f t="shared" si="0"/>
        <v>234</v>
      </c>
      <c r="I22" s="129"/>
      <c r="J22" s="130"/>
      <c r="K22" s="130"/>
      <c r="L22" s="130"/>
      <c r="M22" s="130"/>
    </row>
    <row r="23" spans="3:15" ht="15.75" x14ac:dyDescent="0.25">
      <c r="C23" s="131"/>
      <c r="D23" s="132"/>
      <c r="E23" s="21" t="s">
        <v>37</v>
      </c>
      <c r="F23" s="22">
        <v>45</v>
      </c>
      <c r="G23" s="48">
        <f>SUM(Vendas!C22, Vendas!E22, Vendas!G22, Vendas!I22, Vendas!K22, Vendas!M22, Vendas!O22)</f>
        <v>0</v>
      </c>
      <c r="H23" s="49">
        <f t="shared" si="0"/>
        <v>45</v>
      </c>
      <c r="I23" s="129"/>
      <c r="J23" s="130"/>
      <c r="K23" s="130"/>
      <c r="L23" s="130"/>
      <c r="M23" s="130"/>
    </row>
    <row r="24" spans="3:15" ht="15.75" x14ac:dyDescent="0.25">
      <c r="C24" s="131"/>
      <c r="D24" s="132"/>
      <c r="E24" s="21" t="s">
        <v>64</v>
      </c>
      <c r="F24" s="22">
        <v>60</v>
      </c>
      <c r="G24" s="48">
        <f>SUM(Vendas!C23, Vendas!E23, Vendas!G23, Vendas!I23, Vendas!K23, Vendas!M23, Vendas!O23)</f>
        <v>0</v>
      </c>
      <c r="H24" s="49">
        <f t="shared" si="0"/>
        <v>60</v>
      </c>
      <c r="I24" s="129"/>
      <c r="J24" s="130"/>
      <c r="K24" s="130"/>
      <c r="L24" s="130"/>
      <c r="M24" s="130"/>
    </row>
    <row r="25" spans="3:15" ht="15.75" x14ac:dyDescent="0.25">
      <c r="C25" s="131"/>
      <c r="D25" s="132"/>
      <c r="E25" s="21" t="s">
        <v>24</v>
      </c>
      <c r="F25" s="22">
        <v>80</v>
      </c>
      <c r="G25" s="48">
        <f>SUM(Vendas!C24, Vendas!E24, Vendas!G24, Vendas!I24, Vendas!K24, Vendas!M24, Vendas!O24)</f>
        <v>0</v>
      </c>
      <c r="H25" s="49">
        <f t="shared" si="0"/>
        <v>80</v>
      </c>
      <c r="I25" s="129"/>
      <c r="J25" s="130"/>
      <c r="K25" s="130"/>
      <c r="L25" s="130"/>
      <c r="M25" s="130"/>
    </row>
    <row r="26" spans="3:15" ht="15.75" x14ac:dyDescent="0.25">
      <c r="C26" s="131"/>
      <c r="D26" s="132"/>
      <c r="E26" s="21" t="s">
        <v>25</v>
      </c>
      <c r="F26" s="22">
        <v>80</v>
      </c>
      <c r="G26" s="48">
        <f>SUM(Vendas!C25, Vendas!E25, Vendas!G25, Vendas!I25, Vendas!K25, Vendas!M25, Vendas!O25)</f>
        <v>0</v>
      </c>
      <c r="H26" s="49">
        <f t="shared" si="0"/>
        <v>80</v>
      </c>
      <c r="I26" s="129"/>
      <c r="J26" s="130"/>
      <c r="K26" s="130"/>
      <c r="L26" s="130"/>
      <c r="M26" s="130"/>
    </row>
    <row r="27" spans="3:15" ht="15.75" x14ac:dyDescent="0.25">
      <c r="C27" s="131"/>
      <c r="D27" s="132"/>
      <c r="E27" s="21" t="s">
        <v>26</v>
      </c>
      <c r="F27" s="22">
        <v>80</v>
      </c>
      <c r="G27" s="48">
        <f>SUM(Vendas!C26, Vendas!E26, Vendas!G26, Vendas!I26, Vendas!K26, Vendas!M26, Vendas!O26)</f>
        <v>0</v>
      </c>
      <c r="H27" s="49">
        <f t="shared" si="0"/>
        <v>80</v>
      </c>
      <c r="I27" s="129"/>
      <c r="J27" s="130"/>
      <c r="K27" s="130"/>
      <c r="L27" s="130"/>
      <c r="M27" s="130"/>
    </row>
    <row r="28" spans="3:15" ht="15.75" x14ac:dyDescent="0.25">
      <c r="C28" s="131"/>
      <c r="D28" s="132"/>
      <c r="E28" s="21" t="s">
        <v>27</v>
      </c>
      <c r="F28" s="22">
        <v>30</v>
      </c>
      <c r="G28" s="48">
        <f>SUM(Vendas!C27, Vendas!E27, Vendas!G27, Vendas!I27, Vendas!K27, Vendas!M27, Vendas!O27)</f>
        <v>0</v>
      </c>
      <c r="H28" s="49">
        <f t="shared" si="0"/>
        <v>30</v>
      </c>
      <c r="I28" s="129"/>
      <c r="J28" s="130"/>
      <c r="K28" s="130"/>
      <c r="L28" s="130"/>
      <c r="M28" s="130"/>
    </row>
    <row r="29" spans="3:15" ht="15.75" x14ac:dyDescent="0.25">
      <c r="C29" s="131"/>
      <c r="D29" s="132"/>
      <c r="E29" s="21" t="s">
        <v>28</v>
      </c>
      <c r="F29" s="22">
        <v>50</v>
      </c>
      <c r="G29" s="48">
        <f>SUM(Vendas!C28, Vendas!E28, Vendas!G28, Vendas!I28, Vendas!K28, Vendas!M28, Vendas!O28)</f>
        <v>0</v>
      </c>
      <c r="H29" s="49">
        <f t="shared" si="0"/>
        <v>50</v>
      </c>
      <c r="I29" s="129"/>
      <c r="J29" s="130"/>
      <c r="K29" s="130"/>
      <c r="L29" s="130"/>
      <c r="M29" s="130"/>
    </row>
    <row r="30" spans="3:15" ht="15.75" x14ac:dyDescent="0.25">
      <c r="C30" s="131"/>
      <c r="D30" s="132"/>
      <c r="E30" s="21" t="s">
        <v>29</v>
      </c>
      <c r="F30" s="22">
        <v>100</v>
      </c>
      <c r="G30" s="48">
        <f>SUM(Vendas!C29, Vendas!E29, Vendas!G29, Vendas!I29, Vendas!K29, Vendas!M29, Vendas!O29)</f>
        <v>0</v>
      </c>
      <c r="H30" s="49">
        <f t="shared" si="0"/>
        <v>100</v>
      </c>
      <c r="I30" s="129"/>
      <c r="J30" s="130"/>
      <c r="K30" s="130"/>
      <c r="L30" s="130"/>
      <c r="M30" s="130"/>
      <c r="O30" t="s">
        <v>9</v>
      </c>
    </row>
    <row r="31" spans="3:15" ht="15.75" x14ac:dyDescent="0.25">
      <c r="C31" s="131"/>
      <c r="D31" s="132"/>
      <c r="E31" s="21" t="s">
        <v>30</v>
      </c>
      <c r="F31" s="22">
        <v>150</v>
      </c>
      <c r="G31" s="48">
        <f>SUM(Vendas!C30, Vendas!E30, Vendas!G30, Vendas!I30, Vendas!K30, Vendas!M30, Vendas!O30)</f>
        <v>0</v>
      </c>
      <c r="H31" s="49">
        <f t="shared" si="0"/>
        <v>150</v>
      </c>
      <c r="I31" s="129"/>
      <c r="J31" s="130"/>
      <c r="K31" s="130"/>
      <c r="L31" s="130"/>
      <c r="M31" s="130"/>
    </row>
    <row r="32" spans="3:15" ht="15.75" x14ac:dyDescent="0.25">
      <c r="C32" s="131"/>
      <c r="D32" s="132"/>
      <c r="E32" s="21" t="s">
        <v>31</v>
      </c>
      <c r="F32" s="22">
        <v>200</v>
      </c>
      <c r="G32" s="48">
        <f>SUM(Vendas!C31, Vendas!E31, Vendas!G31, Vendas!I31, Vendas!K31, Vendas!M31, Vendas!O31)</f>
        <v>0</v>
      </c>
      <c r="H32" s="49">
        <f t="shared" si="0"/>
        <v>200</v>
      </c>
      <c r="I32" s="129"/>
      <c r="J32" s="130"/>
      <c r="K32" s="130"/>
      <c r="L32" s="130"/>
      <c r="M32" s="130"/>
    </row>
    <row r="33" spans="3:13" ht="15.75" x14ac:dyDescent="0.25">
      <c r="C33" s="131"/>
      <c r="D33" s="132"/>
      <c r="E33" s="21" t="s">
        <v>32</v>
      </c>
      <c r="F33" s="22">
        <v>100</v>
      </c>
      <c r="G33" s="48">
        <f>SUM(Vendas!C32, Vendas!E32, Vendas!G32, Vendas!I32, Vendas!K32, Vendas!M32, Vendas!O32)</f>
        <v>0</v>
      </c>
      <c r="H33" s="49">
        <f t="shared" si="0"/>
        <v>100</v>
      </c>
      <c r="I33" s="129"/>
      <c r="J33" s="130"/>
      <c r="K33" s="130"/>
      <c r="L33" s="130"/>
      <c r="M33" s="130"/>
    </row>
    <row r="34" spans="3:13" ht="15.75" x14ac:dyDescent="0.25">
      <c r="C34" s="131"/>
      <c r="D34" s="132"/>
      <c r="E34" s="21" t="s">
        <v>33</v>
      </c>
      <c r="F34" s="22">
        <v>125</v>
      </c>
      <c r="G34" s="48">
        <f>SUM(Vendas!C33, Vendas!E33, Vendas!G33, Vendas!I33, Vendas!K33, Vendas!M33, Vendas!O33)</f>
        <v>0</v>
      </c>
      <c r="H34" s="49">
        <f t="shared" si="0"/>
        <v>125</v>
      </c>
      <c r="I34" s="129"/>
      <c r="J34" s="130"/>
      <c r="K34" s="130"/>
      <c r="L34" s="130"/>
      <c r="M34" s="130"/>
    </row>
    <row r="35" spans="3:13" ht="15.75" x14ac:dyDescent="0.25">
      <c r="C35" s="131"/>
      <c r="D35" s="132"/>
      <c r="E35" s="21" t="s">
        <v>34</v>
      </c>
      <c r="F35" s="22">
        <v>24</v>
      </c>
      <c r="G35" s="48">
        <f>SUM(Vendas!C34, Vendas!E34, Vendas!G34, Vendas!I34, Vendas!K34, Vendas!M34, Vendas!O34)</f>
        <v>1</v>
      </c>
      <c r="H35" s="49">
        <f t="shared" si="0"/>
        <v>23</v>
      </c>
      <c r="I35" s="129"/>
      <c r="J35" s="130"/>
      <c r="K35" s="130"/>
      <c r="L35" s="130"/>
      <c r="M35" s="130"/>
    </row>
    <row r="36" spans="3:13" ht="15.75" x14ac:dyDescent="0.25">
      <c r="C36" s="131"/>
      <c r="D36" s="132"/>
      <c r="E36" s="21" t="s">
        <v>35</v>
      </c>
      <c r="F36" s="22">
        <v>40</v>
      </c>
      <c r="G36" s="48">
        <f>SUM(Vendas!C35, Vendas!E35, Vendas!G35, Vendas!I35, Vendas!K35, Vendas!M35, Vendas!O35)</f>
        <v>3</v>
      </c>
      <c r="H36" s="49">
        <f t="shared" si="0"/>
        <v>37</v>
      </c>
      <c r="I36" s="129"/>
      <c r="J36" s="130"/>
      <c r="K36" s="130"/>
      <c r="L36" s="130"/>
      <c r="M36" s="130"/>
    </row>
    <row r="37" spans="3:13" ht="15.75" x14ac:dyDescent="0.25">
      <c r="C37" s="131"/>
      <c r="D37" s="132"/>
      <c r="E37" s="21" t="s">
        <v>36</v>
      </c>
      <c r="F37" s="22">
        <v>50</v>
      </c>
      <c r="G37" s="48">
        <f>SUM(Vendas!C36, Vendas!E36, Vendas!G36, Vendas!I36, Vendas!K36, Vendas!M36, Vendas!O36)</f>
        <v>3</v>
      </c>
      <c r="H37" s="49">
        <f>F37-G37</f>
        <v>47</v>
      </c>
      <c r="I37" s="129"/>
      <c r="J37" s="130"/>
      <c r="K37" s="130"/>
      <c r="L37" s="130"/>
      <c r="M37" s="130"/>
    </row>
    <row r="38" spans="3:13" x14ac:dyDescent="0.25">
      <c r="C38" s="18"/>
    </row>
  </sheetData>
  <sheetProtection algorithmName="SHA-512" hashValue="evVQxnb6/2M9X1qI6KK8MtdG5pzSbMrGdHsDr5zZ1CgOc7OChhDXvy+/ocIV3k44yJcVWxR8akGA9SsSmDFAog==" saltValue="msQIroM4XrP03DlPxzc+Lg==" spinCount="100000" sheet="1" objects="1" scenarios="1"/>
  <mergeCells count="11">
    <mergeCell ref="I13:M37"/>
    <mergeCell ref="C11:D37"/>
    <mergeCell ref="C2:M7"/>
    <mergeCell ref="E11:E12"/>
    <mergeCell ref="C8:M8"/>
    <mergeCell ref="F11:F12"/>
    <mergeCell ref="G11:G12"/>
    <mergeCell ref="H11:H12"/>
    <mergeCell ref="C9:M9"/>
    <mergeCell ref="C10:M10"/>
    <mergeCell ref="I11:M12"/>
  </mergeCells>
  <conditionalFormatting sqref="H13:H37">
    <cfRule type="expression" dxfId="2" priority="1">
      <formula>H13&lt;20</formula>
    </cfRule>
    <cfRule type="expression" dxfId="1" priority="2">
      <formula>H13&lt;15</formula>
    </cfRule>
    <cfRule type="expression" dxfId="0" priority="3">
      <formula>H13&lt;20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3:N16"/>
  <sheetViews>
    <sheetView tabSelected="1" workbookViewId="0">
      <selection activeCell="R19" sqref="R19"/>
    </sheetView>
  </sheetViews>
  <sheetFormatPr defaultRowHeight="15" x14ac:dyDescent="0.25"/>
  <cols>
    <col min="5" max="5" width="9" customWidth="1"/>
    <col min="6" max="6" width="12.85546875" customWidth="1"/>
    <col min="7" max="7" width="12.7109375" bestFit="1" customWidth="1"/>
    <col min="8" max="8" width="15.7109375" bestFit="1" customWidth="1"/>
  </cols>
  <sheetData>
    <row r="3" spans="4:14" ht="15" customHeight="1" x14ac:dyDescent="0.25">
      <c r="D3" s="146" t="s">
        <v>83</v>
      </c>
      <c r="E3" s="146"/>
      <c r="F3" s="146"/>
      <c r="G3" s="146"/>
      <c r="H3" s="146"/>
      <c r="I3" s="146"/>
      <c r="J3" s="146"/>
      <c r="K3" s="146"/>
      <c r="L3" s="146"/>
      <c r="M3" s="146"/>
      <c r="N3" s="146"/>
    </row>
    <row r="4" spans="4:14" ht="15" customHeight="1" x14ac:dyDescent="0.25"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</row>
    <row r="5" spans="4:14" ht="15" customHeight="1" x14ac:dyDescent="0.25">
      <c r="D5" s="146"/>
      <c r="E5" s="146"/>
      <c r="F5" s="146"/>
      <c r="G5" s="146"/>
      <c r="H5" s="146"/>
      <c r="I5" s="146"/>
      <c r="J5" s="146"/>
      <c r="K5" s="146"/>
      <c r="L5" s="146"/>
      <c r="M5" s="146"/>
      <c r="N5" s="146"/>
    </row>
    <row r="6" spans="4:14" ht="15" customHeight="1" x14ac:dyDescent="0.25"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</row>
    <row r="7" spans="4:14" ht="15" customHeight="1" x14ac:dyDescent="0.25"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</row>
    <row r="8" spans="4:14" ht="15" customHeight="1" x14ac:dyDescent="0.25">
      <c r="D8" s="146"/>
      <c r="E8" s="146"/>
      <c r="F8" s="146"/>
      <c r="G8" s="146"/>
      <c r="H8" s="146"/>
      <c r="I8" s="146"/>
      <c r="J8" s="146"/>
      <c r="K8" s="146"/>
      <c r="L8" s="146"/>
      <c r="M8" s="146"/>
      <c r="N8" s="146"/>
    </row>
    <row r="9" spans="4:14" ht="20.25" x14ac:dyDescent="0.3">
      <c r="E9" s="142" t="s">
        <v>84</v>
      </c>
      <c r="F9" s="142"/>
      <c r="G9" s="142"/>
      <c r="H9" s="142"/>
      <c r="I9" s="142"/>
      <c r="J9" s="142"/>
      <c r="K9" s="142"/>
      <c r="L9" s="142"/>
      <c r="M9" s="142"/>
      <c r="N9" s="142"/>
    </row>
    <row r="10" spans="4:14" x14ac:dyDescent="0.25">
      <c r="E10" s="143"/>
      <c r="F10" s="144" t="s">
        <v>61</v>
      </c>
      <c r="G10" s="145" t="s">
        <v>74</v>
      </c>
      <c r="H10" s="147" t="s">
        <v>75</v>
      </c>
    </row>
    <row r="11" spans="4:14" x14ac:dyDescent="0.25">
      <c r="E11" s="143"/>
      <c r="F11" s="144"/>
      <c r="G11" s="145"/>
      <c r="H11" s="147"/>
    </row>
    <row r="12" spans="4:14" ht="15.75" x14ac:dyDescent="0.25">
      <c r="E12" s="30" t="s">
        <v>76</v>
      </c>
      <c r="F12" s="32">
        <f>SUM(Vendas!R12:R36)</f>
        <v>510</v>
      </c>
      <c r="G12">
        <f>SUM(Gastos!I17,I17)</f>
        <v>15</v>
      </c>
      <c r="H12" s="31">
        <f>F12-G12</f>
        <v>495</v>
      </c>
    </row>
    <row r="13" spans="4:14" x14ac:dyDescent="0.25">
      <c r="F13" t="s">
        <v>9</v>
      </c>
      <c r="G13" t="s">
        <v>9</v>
      </c>
    </row>
    <row r="14" spans="4:14" x14ac:dyDescent="0.25">
      <c r="G14" t="s">
        <v>9</v>
      </c>
    </row>
    <row r="16" spans="4:14" x14ac:dyDescent="0.25">
      <c r="G16" t="s">
        <v>9</v>
      </c>
    </row>
  </sheetData>
  <sheetProtection algorithmName="SHA-512" hashValue="PMh1r3TryzeO6gRpzzTB51yiAKZ/JdIbVFiLqQdHU5/ng9mGE7lcvb7p8Y1y8j2MnU7IOl45M/D3uM1vMfWyFA==" saltValue="E3IY83NYwiu/DTWog0wOEg==" spinCount="100000" sheet="1" objects="1" scenarios="1"/>
  <mergeCells count="6">
    <mergeCell ref="E9:N9"/>
    <mergeCell ref="E10:E11"/>
    <mergeCell ref="F10:F11"/>
    <mergeCell ref="G10:G11"/>
    <mergeCell ref="D3:N8"/>
    <mergeCell ref="H10:H1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E3:P17"/>
  <sheetViews>
    <sheetView topLeftCell="D1" workbookViewId="0">
      <selection activeCell="G14" sqref="G14"/>
    </sheetView>
  </sheetViews>
  <sheetFormatPr defaultRowHeight="15" x14ac:dyDescent="0.25"/>
  <cols>
    <col min="6" max="6" width="7.5703125" customWidth="1"/>
    <col min="7" max="8" width="19.140625" bestFit="1" customWidth="1"/>
    <col min="9" max="9" width="12.7109375" bestFit="1" customWidth="1"/>
  </cols>
  <sheetData>
    <row r="3" spans="5:16" ht="15" customHeight="1" x14ac:dyDescent="0.25">
      <c r="E3" s="150" t="s">
        <v>82</v>
      </c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</row>
    <row r="4" spans="5:16" ht="15" customHeight="1" x14ac:dyDescent="0.25"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</row>
    <row r="5" spans="5:16" ht="15" customHeight="1" x14ac:dyDescent="0.25"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</row>
    <row r="6" spans="5:16" ht="25.5" customHeight="1" x14ac:dyDescent="0.25"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</row>
    <row r="7" spans="5:16" ht="15" customHeight="1" x14ac:dyDescent="0.25"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</row>
    <row r="8" spans="5:16" ht="21" customHeight="1" x14ac:dyDescent="0.25"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</row>
    <row r="9" spans="5:16" ht="15.75" x14ac:dyDescent="0.25">
      <c r="E9" s="67" t="s">
        <v>9</v>
      </c>
      <c r="F9" s="67"/>
      <c r="G9" s="67"/>
      <c r="H9" s="65" t="s">
        <v>72</v>
      </c>
      <c r="I9" s="65"/>
      <c r="J9" s="65"/>
      <c r="K9" s="65"/>
      <c r="L9" s="66"/>
      <c r="M9" s="66"/>
      <c r="N9" s="66"/>
      <c r="O9" s="66"/>
      <c r="P9" s="155"/>
    </row>
    <row r="10" spans="5:16" ht="21.75" customHeight="1" x14ac:dyDescent="0.25">
      <c r="E10" s="151" t="s">
        <v>80</v>
      </c>
      <c r="F10" s="152"/>
      <c r="G10" s="25" t="s">
        <v>70</v>
      </c>
      <c r="H10" s="25" t="s">
        <v>70</v>
      </c>
      <c r="I10" s="51" t="s">
        <v>74</v>
      </c>
      <c r="J10" s="52" t="s">
        <v>81</v>
      </c>
      <c r="K10" s="53"/>
      <c r="L10" s="54"/>
      <c r="M10" s="66"/>
      <c r="N10" s="66"/>
      <c r="O10" s="66"/>
      <c r="P10" s="155"/>
    </row>
    <row r="11" spans="5:16" ht="15" customHeight="1" x14ac:dyDescent="0.25">
      <c r="E11" s="153"/>
      <c r="F11" s="154"/>
      <c r="G11" s="26" t="s">
        <v>71</v>
      </c>
      <c r="H11" s="26" t="s">
        <v>73</v>
      </c>
      <c r="I11" s="55"/>
      <c r="J11" s="56"/>
      <c r="K11" s="57"/>
      <c r="L11" s="58"/>
      <c r="M11" s="65"/>
      <c r="N11" s="65"/>
      <c r="O11" s="65"/>
      <c r="P11" s="155"/>
    </row>
    <row r="12" spans="5:16" ht="20.25" customHeight="1" x14ac:dyDescent="0.3">
      <c r="E12" s="156" t="s">
        <v>67</v>
      </c>
      <c r="F12" s="157"/>
      <c r="G12" s="33"/>
      <c r="H12" s="33">
        <v>5</v>
      </c>
      <c r="I12" s="34">
        <f>H12+G12</f>
        <v>5</v>
      </c>
      <c r="J12" s="59"/>
      <c r="K12" s="60"/>
      <c r="L12" s="60"/>
      <c r="M12" s="60"/>
      <c r="N12" s="60"/>
      <c r="O12" s="61"/>
      <c r="P12" s="155"/>
    </row>
    <row r="13" spans="5:16" ht="20.25" customHeight="1" x14ac:dyDescent="0.3">
      <c r="E13" s="156" t="s">
        <v>78</v>
      </c>
      <c r="F13" s="157"/>
      <c r="G13" s="35"/>
      <c r="H13" s="35">
        <v>2</v>
      </c>
      <c r="I13" s="34">
        <f t="shared" ref="I13:I15" si="0">H13+G13</f>
        <v>2</v>
      </c>
      <c r="J13" s="59"/>
      <c r="K13" s="60"/>
      <c r="L13" s="60"/>
      <c r="M13" s="60"/>
      <c r="N13" s="60"/>
      <c r="O13" s="61"/>
      <c r="P13" s="155"/>
    </row>
    <row r="14" spans="5:16" ht="20.25" customHeight="1" x14ac:dyDescent="0.3">
      <c r="E14" s="156" t="s">
        <v>68</v>
      </c>
      <c r="F14" s="157"/>
      <c r="G14" s="35"/>
      <c r="H14" s="35">
        <v>3</v>
      </c>
      <c r="I14" s="34">
        <f t="shared" si="0"/>
        <v>3</v>
      </c>
      <c r="J14" s="59"/>
      <c r="K14" s="60"/>
      <c r="L14" s="60"/>
      <c r="M14" s="60"/>
      <c r="N14" s="60"/>
      <c r="O14" s="61"/>
      <c r="P14" s="155"/>
    </row>
    <row r="15" spans="5:16" ht="20.25" customHeight="1" x14ac:dyDescent="0.3">
      <c r="E15" s="156" t="s">
        <v>79</v>
      </c>
      <c r="F15" s="157"/>
      <c r="G15" s="35"/>
      <c r="H15" s="35">
        <v>4</v>
      </c>
      <c r="I15" s="34">
        <f t="shared" si="0"/>
        <v>4</v>
      </c>
      <c r="J15" s="59"/>
      <c r="K15" s="60"/>
      <c r="L15" s="60"/>
      <c r="M15" s="60"/>
      <c r="N15" s="60"/>
      <c r="O15" s="61"/>
      <c r="P15" s="155"/>
    </row>
    <row r="16" spans="5:16" ht="20.25" customHeight="1" x14ac:dyDescent="0.3">
      <c r="E16" s="156" t="s">
        <v>69</v>
      </c>
      <c r="F16" s="157"/>
      <c r="G16" s="35"/>
      <c r="H16" s="35">
        <v>1</v>
      </c>
      <c r="I16" s="34">
        <v>1</v>
      </c>
      <c r="J16" s="59"/>
      <c r="K16" s="60"/>
      <c r="L16" s="60"/>
      <c r="M16" s="60"/>
      <c r="N16" s="60"/>
      <c r="O16" s="61"/>
      <c r="P16" s="155"/>
    </row>
    <row r="17" spans="5:13" ht="15.75" customHeight="1" x14ac:dyDescent="0.25">
      <c r="E17" s="148" t="s">
        <v>77</v>
      </c>
      <c r="F17" s="149"/>
      <c r="G17" s="62"/>
      <c r="H17" s="63"/>
      <c r="I17" s="50">
        <f>I12+I13+I14+I15+I16</f>
        <v>15</v>
      </c>
      <c r="J17" s="64"/>
      <c r="K17" s="24"/>
      <c r="L17" s="24"/>
      <c r="M17" s="24"/>
    </row>
  </sheetData>
  <sheetProtection algorithmName="SHA-512" hashValue="AMHlfEFhlWKLtHt0ugdX+GAWXrtQcBe8rDyNJjbqlaIIzwXkgMspGLCZh1t2QgLanDjhIjIpFK8zfchOp24NrQ==" saltValue="KMfATjbeVcvV4jp8Mwmgiw==" spinCount="100000" sheet="1" objects="1" scenarios="1"/>
  <mergeCells count="9">
    <mergeCell ref="E17:F17"/>
    <mergeCell ref="E3:P8"/>
    <mergeCell ref="E10:F11"/>
    <mergeCell ref="P9:P16"/>
    <mergeCell ref="E12:F12"/>
    <mergeCell ref="E13:F13"/>
    <mergeCell ref="E14:F14"/>
    <mergeCell ref="E15:F15"/>
    <mergeCell ref="E16:F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Entrada de Produtos</vt:lpstr>
      <vt:lpstr>Saidas de Produtos</vt:lpstr>
      <vt:lpstr>Vendas</vt:lpstr>
      <vt:lpstr>Estoque</vt:lpstr>
      <vt:lpstr>Relatorio Final</vt:lpstr>
      <vt:lpstr>Gastos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Quinito pedro Luis Sucumana</dc:creator>
  <cp:lastModifiedBy>Quinito pedro Luis Sucumana</cp:lastModifiedBy>
  <cp:lastPrinted>2025-02-21T19:27:11Z</cp:lastPrinted>
  <dcterms:created xsi:type="dcterms:W3CDTF">2025-02-17T14:20:56Z</dcterms:created>
  <dcterms:modified xsi:type="dcterms:W3CDTF">2025-03-17T19:16:11Z</dcterms:modified>
</cp:coreProperties>
</file>